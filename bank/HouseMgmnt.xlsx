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ding/Library/Mobile Documents/com~apple~CloudDocs/Documents/whjd/bank/"/>
    </mc:Choice>
  </mc:AlternateContent>
  <xr:revisionPtr revIDLastSave="0" documentId="13_ncr:1_{B4E99468-EC80-874F-A83B-823B045819FF}" xr6:coauthVersionLast="47" xr6:coauthVersionMax="47" xr10:uidLastSave="{00000000-0000-0000-0000-000000000000}"/>
  <bookViews>
    <workbookView xWindow="0" yWindow="0" windowWidth="25600" windowHeight="16000" activeTab="4" xr2:uid="{7970468A-F9F0-C74B-9ED1-DCB147E9D399}"/>
  </bookViews>
  <sheets>
    <sheet name="3925 Millbrook" sheetId="1" r:id="rId1"/>
    <sheet name="4380 Cidar" sheetId="3" r:id="rId2"/>
    <sheet name="120 ForestGlade" sheetId="2" r:id="rId3"/>
    <sheet name="HomeReq" sheetId="4" r:id="rId4"/>
    <sheet name="BK" sheetId="5" r:id="rId5"/>
    <sheet name="Sheet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5" l="1"/>
  <c r="B2" i="5"/>
  <c r="B18" i="4"/>
  <c r="C19" i="1"/>
  <c r="C21" i="1"/>
  <c r="D39" i="3"/>
  <c r="D36" i="3"/>
  <c r="D31" i="3"/>
  <c r="C7" i="1"/>
  <c r="C6" i="1"/>
  <c r="C23" i="1"/>
  <c r="C5" i="1"/>
  <c r="C4" i="1"/>
  <c r="C3" i="1"/>
  <c r="C2" i="1"/>
  <c r="C37" i="3"/>
  <c r="C11" i="1"/>
  <c r="C36" i="3"/>
  <c r="C36" i="2"/>
  <c r="C10" i="2"/>
  <c r="C16" i="3"/>
  <c r="C22" i="2"/>
  <c r="C18" i="1"/>
  <c r="C12" i="1"/>
  <c r="C26" i="1" l="1"/>
  <c r="C33" i="1" s="1"/>
  <c r="C36" i="1" s="1"/>
  <c r="C31" i="2"/>
  <c r="C31" i="3"/>
</calcChain>
</file>

<file path=xl/sharedStrings.xml><?xml version="1.0" encoding="utf-8"?>
<sst xmlns="http://schemas.openxmlformats.org/spreadsheetml/2006/main" count="98" uniqueCount="56">
  <si>
    <t>watter</t>
  </si>
  <si>
    <t>gas</t>
  </si>
  <si>
    <t>electric</t>
  </si>
  <si>
    <t>Termite</t>
  </si>
  <si>
    <t>Mow</t>
  </si>
  <si>
    <t>PropertyTax</t>
  </si>
  <si>
    <t>HOA</t>
  </si>
  <si>
    <t>HomeInsurance</t>
  </si>
  <si>
    <t>CarInsurance</t>
  </si>
  <si>
    <t>food</t>
  </si>
  <si>
    <t>clothing</t>
  </si>
  <si>
    <t>Mortage</t>
  </si>
  <si>
    <t>carMain</t>
  </si>
  <si>
    <t>carGas</t>
  </si>
  <si>
    <t>TruGreen</t>
  </si>
  <si>
    <t>auxFlight</t>
  </si>
  <si>
    <t>auxTuituin</t>
  </si>
  <si>
    <t>TOTAL</t>
  </si>
  <si>
    <t>tither</t>
  </si>
  <si>
    <t>HomeAd</t>
  </si>
  <si>
    <t>HomeCommission</t>
  </si>
  <si>
    <t>HomeQuater</t>
  </si>
  <si>
    <t>Rent</t>
  </si>
  <si>
    <t>Vanguard</t>
  </si>
  <si>
    <t>carMaint</t>
  </si>
  <si>
    <t>auxTuition</t>
  </si>
  <si>
    <t>homeMaint</t>
  </si>
  <si>
    <t>salary</t>
  </si>
  <si>
    <t>wifi</t>
  </si>
  <si>
    <t>phone</t>
  </si>
  <si>
    <t>RentIncome</t>
  </si>
  <si>
    <t>NetIncome</t>
  </si>
  <si>
    <t>rentIncome</t>
  </si>
  <si>
    <t>TotalNetincome</t>
  </si>
  <si>
    <t>medCare</t>
  </si>
  <si>
    <t>carInsurance</t>
  </si>
  <si>
    <t>master on main with kichen</t>
  </si>
  <si>
    <t>outside vending</t>
  </si>
  <si>
    <t>front door no stairs</t>
  </si>
  <si>
    <t>basement</t>
  </si>
  <si>
    <t>no stucco</t>
  </si>
  <si>
    <t>level flat yard</t>
  </si>
  <si>
    <t>no trees</t>
  </si>
  <si>
    <t>built&gt;2000</t>
  </si>
  <si>
    <t>min 3beds 2 bath</t>
  </si>
  <si>
    <t>location school &gt;8</t>
  </si>
  <si>
    <t>within 30 min from current home</t>
  </si>
  <si>
    <t xml:space="preserve">cumming, apharetta, johns_ccreek, sugar_hill, duluth, </t>
  </si>
  <si>
    <t>backyard flat &gt; 0.25 cre</t>
  </si>
  <si>
    <t>backyard direction south/west</t>
  </si>
  <si>
    <t>percent</t>
  </si>
  <si>
    <t>Total chance</t>
  </si>
  <si>
    <t>120 ForestGlad</t>
  </si>
  <si>
    <t>Total</t>
  </si>
  <si>
    <t>BK</t>
  </si>
  <si>
    <t xml:space="preserve">JCL_pkg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</si>
</sst>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44" fontId="0" fillId="0" borderId="0" xfId="2" applyFont="1"/>
    <xf numFmtId="0" fontId="0" fillId="2" borderId="0" xfId="0" applyFill="1"/>
    <xf numFmtId="43" fontId="0" fillId="2" borderId="0" xfId="1" applyFont="1" applyFill="1"/>
    <xf numFmtId="43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814B7-9E2A-8C4E-B82D-C349E2C41367}">
  <dimension ref="B2:E36"/>
  <sheetViews>
    <sheetView topLeftCell="A21" zoomScale="120" zoomScaleNormal="120" workbookViewId="0">
      <selection activeCell="C23" sqref="C23"/>
    </sheetView>
  </sheetViews>
  <sheetFormatPr baseColWidth="10" defaultRowHeight="16" x14ac:dyDescent="0.2"/>
  <cols>
    <col min="2" max="2" width="15.1640625" customWidth="1"/>
    <col min="3" max="3" width="11.5" bestFit="1" customWidth="1"/>
  </cols>
  <sheetData>
    <row r="2" spans="2:5" x14ac:dyDescent="0.2">
      <c r="B2" t="s">
        <v>9</v>
      </c>
      <c r="C2" s="2">
        <f>D2*E2</f>
        <v>7800</v>
      </c>
      <c r="D2">
        <v>150</v>
      </c>
      <c r="E2">
        <v>52</v>
      </c>
    </row>
    <row r="3" spans="2:5" x14ac:dyDescent="0.2">
      <c r="B3" t="s">
        <v>0</v>
      </c>
      <c r="C3" s="2">
        <f>D3*E3</f>
        <v>960</v>
      </c>
      <c r="D3">
        <v>80</v>
      </c>
      <c r="E3">
        <v>12</v>
      </c>
    </row>
    <row r="4" spans="2:5" x14ac:dyDescent="0.2">
      <c r="B4" t="s">
        <v>1</v>
      </c>
      <c r="C4" s="2">
        <f>D4*E4</f>
        <v>840</v>
      </c>
      <c r="D4">
        <v>70</v>
      </c>
      <c r="E4">
        <v>12</v>
      </c>
    </row>
    <row r="5" spans="2:5" x14ac:dyDescent="0.2">
      <c r="B5" t="s">
        <v>2</v>
      </c>
      <c r="C5" s="2">
        <f>D5*E5</f>
        <v>2400</v>
      </c>
      <c r="D5">
        <v>200</v>
      </c>
      <c r="E5">
        <v>12</v>
      </c>
    </row>
    <row r="6" spans="2:5" x14ac:dyDescent="0.2">
      <c r="B6" t="s">
        <v>28</v>
      </c>
      <c r="C6" s="2">
        <f>D6*E6</f>
        <v>720</v>
      </c>
      <c r="D6">
        <v>60</v>
      </c>
      <c r="E6">
        <v>12</v>
      </c>
    </row>
    <row r="7" spans="2:5" x14ac:dyDescent="0.2">
      <c r="B7" t="s">
        <v>29</v>
      </c>
      <c r="C7" s="2">
        <f>D7*E7</f>
        <v>660</v>
      </c>
      <c r="D7">
        <v>55</v>
      </c>
      <c r="E7">
        <v>12</v>
      </c>
    </row>
    <row r="8" spans="2:5" x14ac:dyDescent="0.2">
      <c r="B8" t="s">
        <v>34</v>
      </c>
      <c r="C8" s="2">
        <v>500</v>
      </c>
    </row>
    <row r="9" spans="2:5" x14ac:dyDescent="0.2">
      <c r="B9" t="s">
        <v>14</v>
      </c>
      <c r="C9" s="2">
        <v>400</v>
      </c>
    </row>
    <row r="10" spans="2:5" x14ac:dyDescent="0.2">
      <c r="B10" t="s">
        <v>3</v>
      </c>
      <c r="C10" s="2">
        <v>400</v>
      </c>
    </row>
    <row r="11" spans="2:5" x14ac:dyDescent="0.2">
      <c r="B11" t="s">
        <v>4</v>
      </c>
      <c r="C11" s="2">
        <f>45*26*9/12</f>
        <v>877.5</v>
      </c>
    </row>
    <row r="12" spans="2:5" x14ac:dyDescent="0.2">
      <c r="B12" t="s">
        <v>10</v>
      </c>
      <c r="C12" s="2">
        <f>20*12</f>
        <v>240</v>
      </c>
    </row>
    <row r="13" spans="2:5" x14ac:dyDescent="0.2">
      <c r="B13" t="s">
        <v>26</v>
      </c>
      <c r="C13" s="2">
        <v>1000</v>
      </c>
    </row>
    <row r="14" spans="2:5" x14ac:dyDescent="0.2">
      <c r="B14" t="s">
        <v>24</v>
      </c>
      <c r="C14" s="2">
        <v>600</v>
      </c>
    </row>
    <row r="15" spans="2:5" x14ac:dyDescent="0.2">
      <c r="B15" t="s">
        <v>13</v>
      </c>
      <c r="C15" s="2">
        <v>300</v>
      </c>
    </row>
    <row r="16" spans="2:5" x14ac:dyDescent="0.2">
      <c r="B16" t="s">
        <v>35</v>
      </c>
      <c r="C16" s="2">
        <v>2200</v>
      </c>
    </row>
    <row r="17" spans="2:3" x14ac:dyDescent="0.2">
      <c r="B17" t="s">
        <v>18</v>
      </c>
      <c r="C17" s="2">
        <v>6000</v>
      </c>
    </row>
    <row r="18" spans="2:3" x14ac:dyDescent="0.2">
      <c r="B18" t="s">
        <v>11</v>
      </c>
      <c r="C18" s="2">
        <f>2500*12</f>
        <v>30000</v>
      </c>
    </row>
    <row r="19" spans="2:3" x14ac:dyDescent="0.2">
      <c r="B19" t="s">
        <v>5</v>
      </c>
      <c r="C19" s="2">
        <f>0*7700</f>
        <v>0</v>
      </c>
    </row>
    <row r="20" spans="2:3" x14ac:dyDescent="0.2">
      <c r="B20" t="s">
        <v>6</v>
      </c>
      <c r="C20" s="2">
        <v>1250</v>
      </c>
    </row>
    <row r="21" spans="2:3" x14ac:dyDescent="0.2">
      <c r="B21" t="s">
        <v>7</v>
      </c>
      <c r="C21" s="2">
        <f>1000*0</f>
        <v>0</v>
      </c>
    </row>
    <row r="22" spans="2:3" x14ac:dyDescent="0.2">
      <c r="B22" t="s">
        <v>15</v>
      </c>
      <c r="C22" s="2">
        <v>3500</v>
      </c>
    </row>
    <row r="23" spans="2:3" x14ac:dyDescent="0.2">
      <c r="B23" t="s">
        <v>25</v>
      </c>
      <c r="C23" s="2">
        <f>5800*2</f>
        <v>11600</v>
      </c>
    </row>
    <row r="26" spans="2:3" s="3" customFormat="1" x14ac:dyDescent="0.2">
      <c r="B26" s="3" t="s">
        <v>17</v>
      </c>
      <c r="C26" s="4">
        <f>SUM(C2:C25)</f>
        <v>72247.5</v>
      </c>
    </row>
    <row r="30" spans="2:3" x14ac:dyDescent="0.2">
      <c r="B30" t="s">
        <v>32</v>
      </c>
      <c r="C30" s="1">
        <v>0</v>
      </c>
    </row>
    <row r="31" spans="2:3" x14ac:dyDescent="0.2">
      <c r="B31" t="s">
        <v>27</v>
      </c>
      <c r="C31" s="1">
        <v>0</v>
      </c>
    </row>
    <row r="33" spans="2:3" x14ac:dyDescent="0.2">
      <c r="B33" t="s">
        <v>31</v>
      </c>
      <c r="C33" s="5">
        <f>C30-C26</f>
        <v>-72247.5</v>
      </c>
    </row>
    <row r="36" spans="2:3" x14ac:dyDescent="0.2">
      <c r="B36" t="s">
        <v>33</v>
      </c>
      <c r="C36" s="5">
        <f>C33+'4380 Cidar'!D39</f>
        <v>-54947.5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5B43D-EDE0-944A-B772-399A1DFD2B11}">
  <dimension ref="B2:D39"/>
  <sheetViews>
    <sheetView topLeftCell="A37" zoomScale="112" zoomScaleNormal="140" workbookViewId="0">
      <selection activeCell="D21" sqref="D21"/>
    </sheetView>
  </sheetViews>
  <sheetFormatPr baseColWidth="10" defaultRowHeight="16" x14ac:dyDescent="0.2"/>
  <cols>
    <col min="2" max="2" width="13.33203125" customWidth="1"/>
  </cols>
  <sheetData>
    <row r="2" spans="2:4" x14ac:dyDescent="0.2">
      <c r="B2" t="s">
        <v>9</v>
      </c>
      <c r="C2">
        <v>0</v>
      </c>
    </row>
    <row r="3" spans="2:4" x14ac:dyDescent="0.2">
      <c r="B3" t="s">
        <v>0</v>
      </c>
      <c r="C3">
        <v>0</v>
      </c>
    </row>
    <row r="4" spans="2:4" x14ac:dyDescent="0.2">
      <c r="B4" t="s">
        <v>1</v>
      </c>
      <c r="C4">
        <v>0</v>
      </c>
    </row>
    <row r="5" spans="2:4" x14ac:dyDescent="0.2">
      <c r="B5" t="s">
        <v>2</v>
      </c>
      <c r="C5">
        <v>0</v>
      </c>
    </row>
    <row r="6" spans="2:4" x14ac:dyDescent="0.2">
      <c r="B6" t="s">
        <v>14</v>
      </c>
      <c r="C6">
        <v>0</v>
      </c>
    </row>
    <row r="7" spans="2:4" x14ac:dyDescent="0.2">
      <c r="B7" t="s">
        <v>3</v>
      </c>
      <c r="C7">
        <v>0</v>
      </c>
    </row>
    <row r="8" spans="2:4" x14ac:dyDescent="0.2">
      <c r="B8" t="s">
        <v>4</v>
      </c>
      <c r="C8">
        <v>0</v>
      </c>
    </row>
    <row r="9" spans="2:4" x14ac:dyDescent="0.2">
      <c r="B9" t="s">
        <v>10</v>
      </c>
      <c r="C9">
        <v>0</v>
      </c>
    </row>
    <row r="10" spans="2:4" x14ac:dyDescent="0.2">
      <c r="B10" t="s">
        <v>26</v>
      </c>
      <c r="C10">
        <v>1000</v>
      </c>
      <c r="D10">
        <v>1000</v>
      </c>
    </row>
    <row r="11" spans="2:4" x14ac:dyDescent="0.2">
      <c r="B11" t="s">
        <v>12</v>
      </c>
      <c r="C11">
        <v>0</v>
      </c>
    </row>
    <row r="12" spans="2:4" x14ac:dyDescent="0.2">
      <c r="B12" t="s">
        <v>13</v>
      </c>
      <c r="C12">
        <v>0</v>
      </c>
    </row>
    <row r="13" spans="2:4" x14ac:dyDescent="0.2">
      <c r="B13" t="s">
        <v>18</v>
      </c>
      <c r="C13">
        <v>0</v>
      </c>
    </row>
    <row r="14" spans="2:4" x14ac:dyDescent="0.2">
      <c r="B14" t="s">
        <v>11</v>
      </c>
      <c r="C14">
        <v>0</v>
      </c>
    </row>
    <row r="15" spans="2:4" x14ac:dyDescent="0.2">
      <c r="B15" t="s">
        <v>5</v>
      </c>
      <c r="C15">
        <v>3700</v>
      </c>
      <c r="D15">
        <v>4500</v>
      </c>
    </row>
    <row r="16" spans="2:4" x14ac:dyDescent="0.2">
      <c r="B16" t="s">
        <v>6</v>
      </c>
      <c r="C16">
        <f>275*12</f>
        <v>3300</v>
      </c>
      <c r="D16">
        <v>3300</v>
      </c>
    </row>
    <row r="17" spans="2:4" x14ac:dyDescent="0.2">
      <c r="B17" t="s">
        <v>7</v>
      </c>
      <c r="C17">
        <v>0</v>
      </c>
    </row>
    <row r="18" spans="2:4" x14ac:dyDescent="0.2">
      <c r="B18" t="s">
        <v>8</v>
      </c>
      <c r="C18">
        <v>0</v>
      </c>
    </row>
    <row r="19" spans="2:4" x14ac:dyDescent="0.2">
      <c r="B19" t="s">
        <v>15</v>
      </c>
      <c r="C19">
        <v>0</v>
      </c>
    </row>
    <row r="20" spans="2:4" x14ac:dyDescent="0.2">
      <c r="B20" t="s">
        <v>16</v>
      </c>
      <c r="C20">
        <v>0</v>
      </c>
    </row>
    <row r="21" spans="2:4" x14ac:dyDescent="0.2">
      <c r="B21" t="s">
        <v>19</v>
      </c>
      <c r="C21">
        <v>250</v>
      </c>
      <c r="D21">
        <v>300</v>
      </c>
    </row>
    <row r="22" spans="2:4" x14ac:dyDescent="0.2">
      <c r="B22" t="s">
        <v>20</v>
      </c>
      <c r="C22">
        <v>0</v>
      </c>
    </row>
    <row r="23" spans="2:4" x14ac:dyDescent="0.2">
      <c r="B23" t="s">
        <v>21</v>
      </c>
      <c r="C23">
        <v>0</v>
      </c>
    </row>
    <row r="25" spans="2:4" x14ac:dyDescent="0.2">
      <c r="B25" t="s">
        <v>23</v>
      </c>
      <c r="C25">
        <v>0</v>
      </c>
    </row>
    <row r="31" spans="2:4" x14ac:dyDescent="0.2">
      <c r="B31" t="s">
        <v>17</v>
      </c>
      <c r="C31" s="1">
        <f>SUM(C3:C30)</f>
        <v>8250</v>
      </c>
      <c r="D31" s="1">
        <f>SUM(D3:D30)</f>
        <v>9100</v>
      </c>
    </row>
    <row r="36" spans="2:4" x14ac:dyDescent="0.2">
      <c r="B36" t="s">
        <v>30</v>
      </c>
      <c r="C36" s="1">
        <f>2500*12</f>
        <v>30000</v>
      </c>
      <c r="D36" s="1">
        <f>2200*12</f>
        <v>26400</v>
      </c>
    </row>
    <row r="37" spans="2:4" x14ac:dyDescent="0.2">
      <c r="C37" s="1">
        <f>1900*12</f>
        <v>22800</v>
      </c>
    </row>
    <row r="39" spans="2:4" x14ac:dyDescent="0.2">
      <c r="B39" t="s">
        <v>31</v>
      </c>
      <c r="D39" s="5">
        <f>D36-D31</f>
        <v>17300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1A0C9-50DB-DA46-A29C-359D0C11954E}">
  <dimension ref="B2:C36"/>
  <sheetViews>
    <sheetView topLeftCell="A24" zoomScale="125" workbookViewId="0">
      <selection activeCell="C25" sqref="C25"/>
    </sheetView>
  </sheetViews>
  <sheetFormatPr baseColWidth="10" defaultRowHeight="16" x14ac:dyDescent="0.2"/>
  <sheetData>
    <row r="2" spans="2:3" x14ac:dyDescent="0.2">
      <c r="B2" t="s">
        <v>9</v>
      </c>
      <c r="C2">
        <v>0</v>
      </c>
    </row>
    <row r="3" spans="2:3" x14ac:dyDescent="0.2">
      <c r="B3" t="s">
        <v>0</v>
      </c>
      <c r="C3">
        <v>0</v>
      </c>
    </row>
    <row r="4" spans="2:3" x14ac:dyDescent="0.2">
      <c r="B4" t="s">
        <v>1</v>
      </c>
      <c r="C4">
        <v>0</v>
      </c>
    </row>
    <row r="5" spans="2:3" x14ac:dyDescent="0.2">
      <c r="B5" t="s">
        <v>2</v>
      </c>
      <c r="C5">
        <v>200</v>
      </c>
    </row>
    <row r="6" spans="2:3" x14ac:dyDescent="0.2">
      <c r="B6" t="s">
        <v>14</v>
      </c>
      <c r="C6">
        <v>400</v>
      </c>
    </row>
    <row r="7" spans="2:3" x14ac:dyDescent="0.2">
      <c r="B7" t="s">
        <v>3</v>
      </c>
      <c r="C7">
        <v>0</v>
      </c>
    </row>
    <row r="8" spans="2:3" x14ac:dyDescent="0.2">
      <c r="B8" t="s">
        <v>4</v>
      </c>
      <c r="C8">
        <v>0</v>
      </c>
    </row>
    <row r="9" spans="2:3" x14ac:dyDescent="0.2">
      <c r="B9" t="s">
        <v>10</v>
      </c>
      <c r="C9">
        <v>0</v>
      </c>
    </row>
    <row r="10" spans="2:3" x14ac:dyDescent="0.2">
      <c r="B10" t="s">
        <v>26</v>
      </c>
      <c r="C10">
        <f>250*12</f>
        <v>3000</v>
      </c>
    </row>
    <row r="11" spans="2:3" x14ac:dyDescent="0.2">
      <c r="B11" t="s">
        <v>12</v>
      </c>
      <c r="C11">
        <v>0</v>
      </c>
    </row>
    <row r="12" spans="2:3" x14ac:dyDescent="0.2">
      <c r="B12" t="s">
        <v>13</v>
      </c>
      <c r="C12">
        <v>0</v>
      </c>
    </row>
    <row r="13" spans="2:3" x14ac:dyDescent="0.2">
      <c r="B13" t="s">
        <v>18</v>
      </c>
      <c r="C13">
        <v>0</v>
      </c>
    </row>
    <row r="14" spans="2:3" x14ac:dyDescent="0.2">
      <c r="B14" t="s">
        <v>11</v>
      </c>
      <c r="C14">
        <v>0</v>
      </c>
    </row>
    <row r="15" spans="2:3" x14ac:dyDescent="0.2">
      <c r="B15" t="s">
        <v>5</v>
      </c>
      <c r="C15">
        <v>2800</v>
      </c>
    </row>
    <row r="16" spans="2:3" x14ac:dyDescent="0.2">
      <c r="B16" t="s">
        <v>6</v>
      </c>
      <c r="C16">
        <v>150</v>
      </c>
    </row>
    <row r="17" spans="2:3" x14ac:dyDescent="0.2">
      <c r="B17" t="s">
        <v>7</v>
      </c>
      <c r="C17">
        <v>650</v>
      </c>
    </row>
    <row r="18" spans="2:3" x14ac:dyDescent="0.2">
      <c r="B18" t="s">
        <v>8</v>
      </c>
      <c r="C18">
        <v>0</v>
      </c>
    </row>
    <row r="19" spans="2:3" x14ac:dyDescent="0.2">
      <c r="B19" t="s">
        <v>15</v>
      </c>
      <c r="C19">
        <v>0</v>
      </c>
    </row>
    <row r="20" spans="2:3" x14ac:dyDescent="0.2">
      <c r="B20" t="s">
        <v>16</v>
      </c>
      <c r="C20">
        <v>0</v>
      </c>
    </row>
    <row r="21" spans="2:3" x14ac:dyDescent="0.2">
      <c r="B21" t="s">
        <v>19</v>
      </c>
      <c r="C21">
        <v>500</v>
      </c>
    </row>
    <row r="22" spans="2:3" x14ac:dyDescent="0.2">
      <c r="B22" t="s">
        <v>20</v>
      </c>
      <c r="C22">
        <f>160*12</f>
        <v>1920</v>
      </c>
    </row>
    <row r="23" spans="2:3" x14ac:dyDescent="0.2">
      <c r="B23" t="s">
        <v>21</v>
      </c>
      <c r="C23">
        <v>100</v>
      </c>
    </row>
    <row r="25" spans="2:3" x14ac:dyDescent="0.2">
      <c r="B25" t="s">
        <v>23</v>
      </c>
      <c r="C25">
        <v>7500</v>
      </c>
    </row>
    <row r="31" spans="2:3" x14ac:dyDescent="0.2">
      <c r="B31" t="s">
        <v>17</v>
      </c>
      <c r="C31" s="1">
        <f>SUM(C3:C30)</f>
        <v>17220</v>
      </c>
    </row>
    <row r="36" spans="2:3" x14ac:dyDescent="0.2">
      <c r="B36" t="s">
        <v>22</v>
      </c>
      <c r="C36" s="1">
        <f>1600*11</f>
        <v>17600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88ABF-1B3B-E04F-A003-4DE982AF5D61}">
  <dimension ref="A1:B18"/>
  <sheetViews>
    <sheetView workbookViewId="0">
      <selection activeCell="B13" sqref="B13"/>
    </sheetView>
  </sheetViews>
  <sheetFormatPr baseColWidth="10" defaultRowHeight="16" x14ac:dyDescent="0.2"/>
  <cols>
    <col min="1" max="1" width="73.83203125" customWidth="1"/>
    <col min="2" max="2" width="9.1640625" customWidth="1"/>
  </cols>
  <sheetData>
    <row r="1" spans="1:2" x14ac:dyDescent="0.2">
      <c r="B1" t="s">
        <v>50</v>
      </c>
    </row>
    <row r="2" spans="1:2" x14ac:dyDescent="0.2">
      <c r="A2" t="s">
        <v>36</v>
      </c>
      <c r="B2">
        <v>0.3</v>
      </c>
    </row>
    <row r="3" spans="1:2" x14ac:dyDescent="0.2">
      <c r="A3" t="s">
        <v>37</v>
      </c>
      <c r="B3">
        <v>0.5</v>
      </c>
    </row>
    <row r="4" spans="1:2" x14ac:dyDescent="0.2">
      <c r="A4" t="s">
        <v>48</v>
      </c>
      <c r="B4">
        <v>0.7</v>
      </c>
    </row>
    <row r="5" spans="1:2" x14ac:dyDescent="0.2">
      <c r="A5" t="s">
        <v>49</v>
      </c>
      <c r="B5">
        <v>0.5</v>
      </c>
    </row>
    <row r="6" spans="1:2" x14ac:dyDescent="0.2">
      <c r="A6" t="s">
        <v>38</v>
      </c>
      <c r="B6">
        <v>0.9</v>
      </c>
    </row>
    <row r="7" spans="1:2" x14ac:dyDescent="0.2">
      <c r="A7" t="s">
        <v>39</v>
      </c>
      <c r="B7">
        <v>0.5</v>
      </c>
    </row>
    <row r="8" spans="1:2" x14ac:dyDescent="0.2">
      <c r="A8" t="s">
        <v>40</v>
      </c>
      <c r="B8">
        <v>0.9</v>
      </c>
    </row>
    <row r="9" spans="1:2" x14ac:dyDescent="0.2">
      <c r="A9" t="s">
        <v>41</v>
      </c>
      <c r="B9">
        <v>0.9</v>
      </c>
    </row>
    <row r="10" spans="1:2" x14ac:dyDescent="0.2">
      <c r="A10" t="s">
        <v>42</v>
      </c>
      <c r="B10">
        <v>0.8</v>
      </c>
    </row>
    <row r="11" spans="1:2" x14ac:dyDescent="0.2">
      <c r="A11" t="s">
        <v>43</v>
      </c>
      <c r="B11">
        <v>0.7</v>
      </c>
    </row>
    <row r="12" spans="1:2" x14ac:dyDescent="0.2">
      <c r="A12" t="s">
        <v>44</v>
      </c>
      <c r="B12">
        <v>0.9</v>
      </c>
    </row>
    <row r="13" spans="1:2" x14ac:dyDescent="0.2">
      <c r="A13" t="s">
        <v>45</v>
      </c>
      <c r="B13">
        <v>0.7</v>
      </c>
    </row>
    <row r="14" spans="1:2" x14ac:dyDescent="0.2">
      <c r="A14" t="s">
        <v>46</v>
      </c>
      <c r="B14">
        <v>0.5</v>
      </c>
    </row>
    <row r="15" spans="1:2" x14ac:dyDescent="0.2">
      <c r="A15" t="s">
        <v>47</v>
      </c>
      <c r="B15">
        <v>1</v>
      </c>
    </row>
    <row r="18" spans="1:2" x14ac:dyDescent="0.2">
      <c r="A18" t="s">
        <v>51</v>
      </c>
      <c r="B18">
        <f>PRODUCT(B2:B15)</f>
        <v>3.3756344999999995E-3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3777-61EB-0140-9CA7-CC9BC1987F40}">
  <dimension ref="A1:D7"/>
  <sheetViews>
    <sheetView tabSelected="1" workbookViewId="0">
      <selection activeCell="B7" sqref="B7"/>
    </sheetView>
  </sheetViews>
  <sheetFormatPr baseColWidth="10" defaultRowHeight="16" x14ac:dyDescent="0.2"/>
  <cols>
    <col min="1" max="1" width="22.33203125" customWidth="1"/>
    <col min="2" max="2" width="17.5" customWidth="1"/>
  </cols>
  <sheetData>
    <row r="1" spans="1:4" x14ac:dyDescent="0.2">
      <c r="B1" s="7" t="s">
        <v>54</v>
      </c>
    </row>
    <row r="2" spans="1:4" x14ac:dyDescent="0.2">
      <c r="A2" t="s">
        <v>52</v>
      </c>
      <c r="B2" s="1">
        <f>SUM(C2:D2)</f>
        <v>240000</v>
      </c>
      <c r="C2">
        <v>260000</v>
      </c>
      <c r="D2" s="1">
        <v>-20000</v>
      </c>
    </row>
    <row r="3" spans="1:4" x14ac:dyDescent="0.2">
      <c r="A3" t="s">
        <v>55</v>
      </c>
      <c r="B3" s="1">
        <v>200000</v>
      </c>
    </row>
    <row r="7" spans="1:4" ht="21" x14ac:dyDescent="0.25">
      <c r="A7" s="6" t="s">
        <v>53</v>
      </c>
      <c r="B7" s="5">
        <f>SUM(B2:B3)</f>
        <v>440000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C2139-4E58-9B44-8214-F2C27EE9619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3925 Millbrook</vt:lpstr>
      <vt:lpstr>4380 Cidar</vt:lpstr>
      <vt:lpstr>120 ForestGlade</vt:lpstr>
      <vt:lpstr>HomeReq</vt:lpstr>
      <vt:lpstr>BK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Charles D</cp:lastModifiedBy>
  <dcterms:created xsi:type="dcterms:W3CDTF">2023-09-01T17:58:42Z</dcterms:created>
  <dcterms:modified xsi:type="dcterms:W3CDTF">2024-08-26T09:56:01Z</dcterms:modified>
</cp:coreProperties>
</file>