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weiding/Sites/weidroot/weidroot_2017-01-06/app/github/wdingsoft/whjd/bank/"/>
    </mc:Choice>
  </mc:AlternateContent>
  <xr:revisionPtr revIDLastSave="0" documentId="13_ncr:1_{2F178D28-E622-6B4C-90DB-AC59A4AE1395}" xr6:coauthVersionLast="47" xr6:coauthVersionMax="47" xr10:uidLastSave="{00000000-0000-0000-0000-000000000000}"/>
  <bookViews>
    <workbookView xWindow="0" yWindow="500" windowWidth="25600" windowHeight="15500" activeTab="1" xr2:uid="{00000000-000D-0000-FFFF-FFFF00000000}"/>
  </bookViews>
  <sheets>
    <sheet name="Expense-Log" sheetId="6" r:id="rId1"/>
    <sheet name="MonthlyStats" sheetId="7" r:id="rId2"/>
    <sheet name="Sheet1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18" i="7" l="1"/>
  <c r="K10" i="7"/>
  <c r="K11" i="7" s="1"/>
  <c r="K12" i="7" s="1"/>
  <c r="Y12" i="7"/>
  <c r="G189" i="6"/>
  <c r="G172" i="6"/>
  <c r="C11" i="7"/>
  <c r="G11" i="7"/>
  <c r="G158" i="6"/>
  <c r="G159" i="6"/>
  <c r="G157" i="6"/>
  <c r="C10" i="7"/>
  <c r="K3" i="7"/>
  <c r="K4" i="7" s="1"/>
  <c r="Y3" i="7"/>
  <c r="Y9" i="7"/>
  <c r="AF8" i="7"/>
  <c r="D19" i="6"/>
  <c r="X7" i="7"/>
  <c r="Y8" i="7"/>
  <c r="G7" i="7"/>
  <c r="G8" i="7" s="1"/>
  <c r="G9" i="7" s="1"/>
  <c r="K7" i="7"/>
  <c r="K8" i="7" s="1"/>
  <c r="K9" i="7" s="1"/>
  <c r="Y6" i="7"/>
  <c r="Y7" i="7" s="1"/>
  <c r="Y5" i="7"/>
  <c r="Y4" i="7"/>
  <c r="F4" i="7" l="1"/>
  <c r="L5" i="7"/>
  <c r="G120" i="6"/>
  <c r="D20" i="6"/>
  <c r="D5" i="6" s="1"/>
  <c r="D4" i="6"/>
  <c r="C85" i="6"/>
  <c r="C54" i="6"/>
  <c r="C41" i="6"/>
  <c r="C16" i="8"/>
  <c r="B14" i="8"/>
  <c r="B16" i="8" s="1"/>
  <c r="C14" i="8"/>
  <c r="C19" i="6" l="1"/>
  <c r="I19" i="6" s="1"/>
  <c r="C20" i="6"/>
  <c r="C5" i="6" s="1"/>
  <c r="K5" i="7"/>
  <c r="H119" i="6"/>
  <c r="H120" i="6" s="1"/>
  <c r="C4" i="6" l="1"/>
  <c r="J119" i="6"/>
  <c r="H6" i="6"/>
  <c r="G13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2" authorId="0" shapeId="0" xr:uid="{0AC37EC2-2AC4-F242-8961-7D1D2D18CB80}">
      <text>
        <r>
          <rPr>
            <b/>
            <sz val="10"/>
            <color rgb="FF000000"/>
            <rFont val="Tahoma"/>
            <family val="2"/>
          </rPr>
          <t xml:space="preserve">Initial Fundation
</t>
        </r>
        <r>
          <rPr>
            <b/>
            <sz val="10"/>
            <color rgb="FF000000"/>
            <rFont val="Tahoma"/>
            <family val="2"/>
          </rPr>
          <t xml:space="preserve">=NcTotal+JxTotal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D2" authorId="0" shapeId="0" xr:uid="{9EDA8AAF-6DCF-BD42-86A3-569F95D0973E}">
      <text>
        <r>
          <rPr>
            <b/>
            <sz val="10"/>
            <color rgb="FF000000"/>
            <rFont val="Tahoma"/>
            <family val="2"/>
          </rPr>
          <t>Initial Fundation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K1" authorId="0" shapeId="0" xr:uid="{36BA61EF-9D65-694C-8F71-A978337F2C2E}">
      <text>
        <r>
          <rPr>
            <b/>
            <sz val="10"/>
            <color rgb="FF000000"/>
            <rFont val="Tahoma"/>
            <family val="2"/>
          </rPr>
          <t xml:space="preserve">TotBankStatement
</t>
        </r>
        <r>
          <rPr>
            <b/>
            <sz val="10"/>
            <color rgb="FF000000"/>
            <rFont val="Tahoma"/>
            <family val="2"/>
          </rPr>
          <t xml:space="preserve">in China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J3" authorId="0" shapeId="0" xr:uid="{E1BD021A-E6C5-6145-891F-EF833448B0B7}">
      <text>
        <r>
          <rPr>
            <b/>
            <sz val="10"/>
            <color rgb="FF000000"/>
            <rFont val="Tahoma"/>
            <family val="2"/>
          </rPr>
          <t xml:space="preserve">exchange rate
</t>
        </r>
        <r>
          <rPr>
            <sz val="10"/>
            <color rgb="FF000000"/>
            <rFont val="Tahoma"/>
            <family val="2"/>
          </rPr>
          <t>=6.88</t>
        </r>
      </text>
    </comment>
    <comment ref="A4" authorId="0" shapeId="0" xr:uid="{3E49D646-DDEE-4846-918D-72F6B1E1C63C}">
      <text>
        <r>
          <rPr>
            <b/>
            <sz val="10"/>
            <color rgb="FF000000"/>
            <rFont val="Tahoma"/>
            <family val="2"/>
          </rPr>
          <t xml:space="preserve">upto Aug.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J7" authorId="0" shapeId="0" xr:uid="{3908617A-992A-584B-8B1D-D31F6B14BFEF}">
      <text>
        <r>
          <rPr>
            <b/>
            <sz val="10"/>
            <color rgb="FF000000"/>
            <rFont val="Tahoma"/>
            <family val="2"/>
          </rPr>
          <t xml:space="preserve">USD exchangeRate=7.2
</t>
        </r>
      </text>
    </comment>
    <comment ref="X7" authorId="0" shapeId="0" xr:uid="{213274C8-2F60-104A-A67F-50E866C01E29}">
      <text>
        <r>
          <rPr>
            <b/>
            <sz val="10"/>
            <color rgb="FF000000"/>
            <rFont val="Tahoma"/>
            <family val="2"/>
          </rPr>
          <t xml:space="preserve">add
</t>
        </r>
        <r>
          <rPr>
            <b/>
            <sz val="10"/>
            <color rgb="FF000000"/>
            <rFont val="Tahoma"/>
            <family val="2"/>
          </rPr>
          <t xml:space="preserve"> WD (12500) for USD exhange. 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235k+125k=360k
</t>
        </r>
      </text>
    </comment>
    <comment ref="B10" authorId="0" shapeId="0" xr:uid="{8801DDB3-B4AE-B84E-BC35-5876AF6C5441}">
      <text>
        <r>
          <rPr>
            <b/>
            <sz val="10"/>
            <color rgb="FF000000"/>
            <rFont val="Tahoma"/>
            <family val="2"/>
          </rPr>
          <t xml:space="preserve">roomboard in Brasbane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J10" authorId="0" shapeId="0" xr:uid="{C6C9886D-7533-334D-87FA-77F7BE37E5C4}">
      <text>
        <r>
          <rPr>
            <b/>
            <sz val="10"/>
            <color rgb="FF000000"/>
            <rFont val="Tahoma"/>
            <family val="2"/>
          </rPr>
          <t>aud exch rate=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4.74
</t>
        </r>
      </text>
    </comment>
  </commentList>
</comments>
</file>

<file path=xl/sharedStrings.xml><?xml version="1.0" encoding="utf-8"?>
<sst xmlns="http://schemas.openxmlformats.org/spreadsheetml/2006/main" count="324" uniqueCount="206">
  <si>
    <t>22-06-26</t>
  </si>
  <si>
    <t>DW to JX-cmb-card</t>
  </si>
  <si>
    <t>DW to JX-icbc-card</t>
  </si>
  <si>
    <t>22-06-23</t>
  </si>
  <si>
    <t>water</t>
  </si>
  <si>
    <t>22-06-22</t>
  </si>
  <si>
    <t>22-06-21</t>
  </si>
  <si>
    <t>medicine foot</t>
  </si>
  <si>
    <t>22-06-20</t>
  </si>
  <si>
    <t>22-06-19</t>
  </si>
  <si>
    <t>home-moving</t>
  </si>
  <si>
    <t>Home concrete</t>
  </si>
  <si>
    <t>22-06-18</t>
  </si>
  <si>
    <t>Park, annual card</t>
  </si>
  <si>
    <t>22-06-17</t>
  </si>
  <si>
    <t>pocket</t>
  </si>
  <si>
    <t>LongZeXiongDan.x9+1,301 Hospital</t>
  </si>
  <si>
    <t>22-06-30</t>
  </si>
  <si>
    <t xml:space="preserve"> </t>
  </si>
  <si>
    <t>22-06-29</t>
  </si>
  <si>
    <t>Changan Notary</t>
  </si>
  <si>
    <t>22-05-30</t>
  </si>
  <si>
    <t>22-06-24</t>
  </si>
  <si>
    <t>22-06-25</t>
  </si>
  <si>
    <t>CKN</t>
  </si>
  <si>
    <t>mobile charge</t>
  </si>
  <si>
    <t>22-08-25</t>
  </si>
  <si>
    <t>Home Bath Renovation, KuaiLeZhiJian</t>
  </si>
  <si>
    <t>HangTian Hospital, teethcleaning,387+50</t>
  </si>
  <si>
    <t>22-03-01</t>
  </si>
  <si>
    <t>22-02-24</t>
  </si>
  <si>
    <t>CNY</t>
  </si>
  <si>
    <t>Tot-Init</t>
  </si>
  <si>
    <t>Tot-Balance</t>
  </si>
  <si>
    <t>USD($)</t>
  </si>
  <si>
    <t>Description</t>
  </si>
  <si>
    <t>Notes</t>
  </si>
  <si>
    <t>Shanghai-Quaritine14+</t>
  </si>
  <si>
    <t>Home Tub, KuaiLeZhiJian</t>
  </si>
  <si>
    <t>22-09-01</t>
  </si>
  <si>
    <t>taxi-airport, food-airport</t>
  </si>
  <si>
    <t>JX-北京农商</t>
  </si>
  <si>
    <t>JX-中国銀行</t>
  </si>
  <si>
    <t>JX-北京銀行</t>
  </si>
  <si>
    <t>JX-zhaoshang</t>
  </si>
  <si>
    <t>JX-icbc</t>
  </si>
  <si>
    <t>22-08-27</t>
  </si>
  <si>
    <t>22-08-11</t>
  </si>
  <si>
    <t>22-07-30</t>
  </si>
  <si>
    <t>m7</t>
  </si>
  <si>
    <t>others</t>
  </si>
  <si>
    <t>m8</t>
  </si>
  <si>
    <t>22-08-30</t>
  </si>
  <si>
    <t>三街房超市发</t>
  </si>
  <si>
    <t>八宝山殡仪馆</t>
  </si>
  <si>
    <t>燕京公证</t>
  </si>
  <si>
    <t>美团</t>
  </si>
  <si>
    <t>Cathay-Pacific-Insurance</t>
  </si>
  <si>
    <t>联通</t>
  </si>
  <si>
    <t>惠民果蔬</t>
  </si>
  <si>
    <t>二维码收付款</t>
  </si>
  <si>
    <t>长安公证</t>
  </si>
  <si>
    <t>航天中心医院</t>
  </si>
  <si>
    <t>海淀公安局(Jx-passport)</t>
  </si>
  <si>
    <t>轨道交通票</t>
  </si>
  <si>
    <t>玉泉路超市发</t>
  </si>
  <si>
    <t>others(-3860.69)</t>
  </si>
  <si>
    <t>二维码收付款:chinese herb (LongZeXiongDanx40,GanMao)</t>
  </si>
  <si>
    <t>chinese herb (LongZeXiongDanx40,GanMao)-1598.7</t>
  </si>
  <si>
    <t>chinese herb (LongZeXiongDanx40,GanMao)-354</t>
  </si>
  <si>
    <t>others(-12202.09)</t>
  </si>
  <si>
    <t>商户梁卫林(果蔬)</t>
  </si>
  <si>
    <t>Transfer</t>
  </si>
  <si>
    <t>JX-quote-2023:$49999.0=-343993.12</t>
  </si>
  <si>
    <t>23-08-25</t>
  </si>
  <si>
    <t>Buffer-zhaoshang</t>
  </si>
  <si>
    <t>Buffer-icbc</t>
  </si>
  <si>
    <t>Buffer-yc</t>
  </si>
  <si>
    <t>Buffer-zhongxin</t>
  </si>
  <si>
    <t>22-04-30</t>
  </si>
  <si>
    <t>航天中心医院 (hand operation)</t>
  </si>
  <si>
    <t>三街房超市发103.8+94.5</t>
  </si>
  <si>
    <t>美团(Taxi2NanYuan) 98+27</t>
  </si>
  <si>
    <t>Others</t>
  </si>
  <si>
    <t>2022-08</t>
  </si>
  <si>
    <t>Months</t>
  </si>
  <si>
    <t>北京莱佛士医院PhysicalExam</t>
  </si>
  <si>
    <t>Exchange</t>
  </si>
  <si>
    <t>转帐(AA-Notary:Fujian)</t>
  </si>
  <si>
    <t>玉泉东商品</t>
  </si>
  <si>
    <t>手机充值</t>
  </si>
  <si>
    <t>生活缴费,(wuye)</t>
  </si>
  <si>
    <t>转帐(Agent-Visa Fee)</t>
  </si>
  <si>
    <t>Int'l Scalpture Park</t>
  </si>
  <si>
    <t>永辉</t>
  </si>
  <si>
    <t>MedicineFoot</t>
  </si>
  <si>
    <t>二维码收付款(Bath Renov)</t>
  </si>
  <si>
    <t>航天中心医院(437.5PhysicalExam+442.88(Teeth)</t>
  </si>
  <si>
    <t>2022-09</t>
  </si>
  <si>
    <t>flight: Seattle-Shanghai (Delta:Chase01/15)</t>
  </si>
  <si>
    <t>ArcPointLabs(Seattle) Chase02/16</t>
  </si>
  <si>
    <t>22-01-15</t>
  </si>
  <si>
    <t>22-09-27</t>
  </si>
  <si>
    <t>checkin luggage (Charlie)</t>
  </si>
  <si>
    <t>flight: Atlanta to Seattle on 02/16 (JC-email, purchase 2/2)</t>
  </si>
  <si>
    <t>flight: deserved(Beijing2Seattle) (Delta canceled)</t>
  </si>
  <si>
    <t>22-08-22</t>
  </si>
  <si>
    <t>22-08-31</t>
  </si>
  <si>
    <t>gifts ($1500)</t>
  </si>
  <si>
    <t>xieli</t>
  </si>
  <si>
    <t>weiding</t>
  </si>
  <si>
    <t>flight:Seattle to Atanta x2 (Charlie)</t>
  </si>
  <si>
    <t>JX-quote-2022:$49999.0=-343993.12, -$19TrxFee</t>
  </si>
  <si>
    <t>JCL</t>
  </si>
  <si>
    <t>cashReturn</t>
  </si>
  <si>
    <t>init</t>
  </si>
  <si>
    <t>WD-Icbc</t>
  </si>
  <si>
    <t>2022-10</t>
  </si>
  <si>
    <t>2022-11</t>
  </si>
  <si>
    <t>2022-12</t>
  </si>
  <si>
    <t>2023-01</t>
  </si>
  <si>
    <t>Shanghai-Xinji Train Ticket(800) + Taxi(200)</t>
  </si>
  <si>
    <t>China Visa=$140(Visa)+$200(Agent)+$50(Urgent)=$390.</t>
  </si>
  <si>
    <t>ArcPointLabs(Seattle) 03/01.Reciept Charlie</t>
  </si>
  <si>
    <t>Shanghai+3x1000=3000</t>
  </si>
  <si>
    <t>Xinji-Shijiazhuang Taxi -300</t>
  </si>
  <si>
    <t>Shijiazhuan-Beijing Train Ticket -300</t>
  </si>
  <si>
    <t>Xinji-Quaritine+7+7(hotel,taxi,acid-test) 1400</t>
  </si>
  <si>
    <t>Nany+expanse:3000Y+2000Y</t>
  </si>
  <si>
    <t>Quaritine +3+14 (Fr Shanhai-Xinji-Shijiazhuang-Beijing)</t>
  </si>
  <si>
    <t>cash2Jcl=-2000(Ret)+1682(NC)</t>
  </si>
  <si>
    <t>BeijingUtility(Phone+Water+Electric)[Web+Gas+Wuye+WinterWarm]</t>
  </si>
  <si>
    <t>Tot-ExpenseY2D</t>
  </si>
  <si>
    <t>gift to Charlies.(2000)</t>
  </si>
  <si>
    <t>flight: (2x) CathayPacific/Alaska2291.17x2+366.58(+898wd)</t>
  </si>
  <si>
    <t>22-10-11</t>
  </si>
  <si>
    <t>Identical Ideneity In Passport (Emily)</t>
  </si>
  <si>
    <t xml:space="preserve">phone-fee. </t>
  </si>
  <si>
    <t>BankTot</t>
  </si>
  <si>
    <t>22-11-11</t>
  </si>
  <si>
    <t>22-11-14</t>
  </si>
  <si>
    <t>22-12-04</t>
  </si>
  <si>
    <t>trip2brisban-beijing.x2.</t>
  </si>
  <si>
    <t>iphone-14 (att for jx 470-363-3638) paidbyJCL 800.</t>
  </si>
  <si>
    <t>WD visa to PRC (receipt)</t>
  </si>
  <si>
    <t>att montly phone fee</t>
  </si>
  <si>
    <t>exchange rate(7.2x50000=360000)</t>
  </si>
  <si>
    <t>22-11-01</t>
  </si>
  <si>
    <t>exhange</t>
  </si>
  <si>
    <t>USD(In)</t>
  </si>
  <si>
    <t>USD(Out)</t>
  </si>
  <si>
    <t>CY(In)</t>
  </si>
  <si>
    <t>CY(Out)</t>
  </si>
  <si>
    <t>Tot_CY_Bank(Y)</t>
  </si>
  <si>
    <t>Tot_USD</t>
  </si>
  <si>
    <t>shwab</t>
  </si>
  <si>
    <t>etrade</t>
  </si>
  <si>
    <t>TOT</t>
  </si>
  <si>
    <t>Jx-WFG</t>
  </si>
  <si>
    <t>WD-WFG</t>
  </si>
  <si>
    <t>23-01-17</t>
  </si>
  <si>
    <t>$1400=6.77x94,663.97 JX-ZhaoShang Exchange</t>
  </si>
  <si>
    <t>$600.00 cash in Joint WellsFargo Acccount for free anual fee. (frm WD)</t>
  </si>
  <si>
    <t>$1500.00 cash in Joint Case Acccount for free anual fee. (from WD)</t>
  </si>
  <si>
    <t>AUD(In)</t>
  </si>
  <si>
    <t>AUD(out)</t>
  </si>
  <si>
    <t>Tot_AUD</t>
  </si>
  <si>
    <t>23-02-19</t>
  </si>
  <si>
    <t>AUD</t>
  </si>
  <si>
    <t>AUD$17x2: NZeTA visa at auckland. (paid by Hang Ding card)</t>
  </si>
  <si>
    <t>2023-02</t>
  </si>
  <si>
    <t>Nuclie test for departure</t>
  </si>
  <si>
    <t>Taxi at Beijing South. Wechat</t>
  </si>
  <si>
    <t>Taxi at TianJing. 68+tips Wechat</t>
  </si>
  <si>
    <t>TianJin to Beijing GaoTie. Wechat</t>
  </si>
  <si>
    <t>23-02-20</t>
  </si>
  <si>
    <t>x2 Nuclei Test at Brisbane Airport. w/ Shwab Card email@wdinge</t>
  </si>
  <si>
    <t>Phone monthly</t>
  </si>
  <si>
    <t>water utility</t>
  </si>
  <si>
    <t>SanJieFangChaoShi</t>
  </si>
  <si>
    <t>JiaoTongKa</t>
  </si>
  <si>
    <t>Taxi</t>
  </si>
  <si>
    <t>23-02-27</t>
  </si>
  <si>
    <t>23-02-21</t>
  </si>
  <si>
    <t>ZhongGuoZhongYiKeXieYuan-EyeExam</t>
  </si>
  <si>
    <t>ZhongGuoZhongYiKeXieYuan-EyeSurgery(Right)</t>
  </si>
  <si>
    <t>23-03-01</t>
  </si>
  <si>
    <t>ZhongGuoZhongYiKeXieYuan-EyeRegistration</t>
  </si>
  <si>
    <t>ZhongGuoZhongYiKeXieYuan-EyeSurgery(food)</t>
  </si>
  <si>
    <t>SFZ fixed</t>
  </si>
  <si>
    <t>ZhongGuoZhongYiKeXieYuan-EyeMedicine</t>
  </si>
  <si>
    <t>23-03-07</t>
  </si>
  <si>
    <t>ZhongGuoZhongYiKeXieYuan-EyeSurgery(Left)</t>
  </si>
  <si>
    <t>23-03-09</t>
  </si>
  <si>
    <t>23-03-12</t>
  </si>
  <si>
    <t>23-03-13</t>
  </si>
  <si>
    <t>23-03-15</t>
  </si>
  <si>
    <t>mobile cgarge</t>
  </si>
  <si>
    <t>23-03-16</t>
  </si>
  <si>
    <t>WuMEI</t>
  </si>
  <si>
    <t>23-03-28</t>
  </si>
  <si>
    <t>23-03-31</t>
  </si>
  <si>
    <t>23-04-04</t>
  </si>
  <si>
    <t>MOBILE</t>
  </si>
  <si>
    <t>2023-03</t>
  </si>
  <si>
    <t>23-04-07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</si>
</sst>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</numFmts>
  <fonts count="17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theme="7" tint="-0.249977111117893"/>
      <name val="Arial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i/>
      <sz val="10"/>
      <color rgb="FF00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sz val="10"/>
      <color theme="7" tint="-0.249977111117893"/>
      <name val="Arial"/>
      <family val="2"/>
      <scheme val="minor"/>
    </font>
    <font>
      <sz val="10"/>
      <color theme="4" tint="-0.249977111117893"/>
      <name val="Arial"/>
      <family val="2"/>
      <scheme val="minor"/>
    </font>
    <font>
      <sz val="10"/>
      <color theme="7"/>
      <name val="Arial"/>
      <family val="2"/>
      <scheme val="minor"/>
    </font>
    <font>
      <sz val="10"/>
      <color rgb="FF0D5ADB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EF2CD"/>
        <bgColor rgb="FF000000"/>
      </patternFill>
    </fill>
    <fill>
      <patternFill patternType="solid">
        <fgColor theme="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66">
    <xf numFmtId="0" fontId="0" fillId="0" borderId="0" xfId="0"/>
    <xf numFmtId="43" fontId="0" fillId="0" borderId="0" xfId="1" applyFont="1" applyAlignment="1"/>
    <xf numFmtId="0" fontId="1" fillId="0" borderId="0" xfId="0" applyFont="1"/>
    <xf numFmtId="0" fontId="0" fillId="2" borderId="2" xfId="0" applyFill="1" applyBorder="1"/>
    <xf numFmtId="44" fontId="0" fillId="3" borderId="1" xfId="2" applyFont="1" applyFill="1" applyBorder="1" applyAlignment="1"/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44" fontId="0" fillId="4" borderId="1" xfId="2" applyFont="1" applyFill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44" fontId="2" fillId="0" borderId="4" xfId="2" applyFont="1" applyFill="1" applyBorder="1" applyAlignment="1" applyProtection="1">
      <alignment horizontal="center"/>
      <protection locked="0"/>
    </xf>
    <xf numFmtId="0" fontId="2" fillId="4" borderId="1" xfId="0" applyFont="1" applyFill="1" applyBorder="1" applyAlignment="1" applyProtection="1">
      <alignment horizontal="left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" xfId="0" applyFill="1" applyBorder="1" applyProtection="1">
      <protection locked="0"/>
    </xf>
    <xf numFmtId="43" fontId="0" fillId="4" borderId="1" xfId="1" applyFont="1" applyFill="1" applyBorder="1" applyAlignment="1" applyProtection="1">
      <alignment horizontal="center"/>
      <protection locked="0"/>
    </xf>
    <xf numFmtId="44" fontId="2" fillId="5" borderId="1" xfId="2" applyFont="1" applyFill="1" applyBorder="1" applyAlignment="1" applyProtection="1">
      <protection locked="0"/>
    </xf>
    <xf numFmtId="0" fontId="2" fillId="5" borderId="1" xfId="0" applyFont="1" applyFill="1" applyBorder="1" applyProtection="1">
      <protection locked="0"/>
    </xf>
    <xf numFmtId="43" fontId="2" fillId="5" borderId="1" xfId="1" applyFont="1" applyFill="1" applyBorder="1" applyAlignment="1" applyProtection="1">
      <protection locked="0"/>
    </xf>
    <xf numFmtId="0" fontId="0" fillId="5" borderId="1" xfId="0" applyFill="1" applyBorder="1"/>
    <xf numFmtId="43" fontId="0" fillId="5" borderId="1" xfId="1" applyFont="1" applyFill="1" applyBorder="1" applyAlignment="1"/>
    <xf numFmtId="43" fontId="1" fillId="0" borderId="0" xfId="1" applyFont="1" applyAlignment="1"/>
    <xf numFmtId="0" fontId="2" fillId="0" borderId="1" xfId="0" applyFont="1" applyBorder="1"/>
    <xf numFmtId="0" fontId="0" fillId="0" borderId="1" xfId="0" applyBorder="1"/>
    <xf numFmtId="43" fontId="0" fillId="0" borderId="1" xfId="1" applyFont="1" applyBorder="1" applyAlignment="1"/>
    <xf numFmtId="43" fontId="0" fillId="2" borderId="1" xfId="1" applyFont="1" applyFill="1" applyBorder="1" applyAlignment="1"/>
    <xf numFmtId="6" fontId="1" fillId="0" borderId="1" xfId="0" applyNumberFormat="1" applyFont="1" applyBorder="1"/>
    <xf numFmtId="0" fontId="0" fillId="6" borderId="0" xfId="0" applyFill="1"/>
    <xf numFmtId="44" fontId="0" fillId="6" borderId="0" xfId="2" applyFont="1" applyFill="1" applyBorder="1" applyAlignment="1"/>
    <xf numFmtId="0" fontId="1" fillId="6" borderId="0" xfId="0" applyFont="1" applyFill="1"/>
    <xf numFmtId="43" fontId="0" fillId="6" borderId="0" xfId="1" applyFont="1" applyFill="1" applyBorder="1" applyAlignment="1"/>
    <xf numFmtId="6" fontId="1" fillId="6" borderId="0" xfId="0" applyNumberFormat="1" applyFont="1" applyFill="1"/>
    <xf numFmtId="0" fontId="1" fillId="0" borderId="1" xfId="0" applyFont="1" applyBorder="1"/>
    <xf numFmtId="14" fontId="0" fillId="0" borderId="1" xfId="0" applyNumberFormat="1" applyBorder="1"/>
    <xf numFmtId="14" fontId="1" fillId="0" borderId="1" xfId="0" applyNumberFormat="1" applyFont="1" applyBorder="1"/>
    <xf numFmtId="0" fontId="0" fillId="2" borderId="1" xfId="0" applyFill="1" applyBorder="1"/>
    <xf numFmtId="43" fontId="0" fillId="0" borderId="1" xfId="1" applyFont="1" applyFill="1" applyBorder="1" applyAlignment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3" borderId="1" xfId="0" applyFill="1" applyBorder="1"/>
    <xf numFmtId="0" fontId="0" fillId="3" borderId="0" xfId="0" applyFill="1"/>
    <xf numFmtId="43" fontId="0" fillId="2" borderId="0" xfId="1" applyFont="1" applyFill="1" applyAlignment="1"/>
    <xf numFmtId="43" fontId="0" fillId="0" borderId="1" xfId="0" applyNumberFormat="1" applyBorder="1"/>
    <xf numFmtId="44" fontId="0" fillId="0" borderId="1" xfId="2" applyFont="1" applyFill="1" applyBorder="1" applyAlignment="1"/>
    <xf numFmtId="44" fontId="1" fillId="0" borderId="1" xfId="2" applyFont="1" applyFill="1" applyBorder="1" applyAlignment="1"/>
    <xf numFmtId="43" fontId="5" fillId="0" borderId="1" xfId="1" applyFont="1" applyBorder="1" applyAlignment="1"/>
    <xf numFmtId="43" fontId="5" fillId="5" borderId="1" xfId="1" applyFont="1" applyFill="1" applyBorder="1" applyAlignment="1"/>
    <xf numFmtId="43" fontId="2" fillId="5" borderId="1" xfId="0" applyNumberFormat="1" applyFont="1" applyFill="1" applyBorder="1" applyProtection="1">
      <protection locked="0"/>
    </xf>
    <xf numFmtId="43" fontId="0" fillId="3" borderId="1" xfId="1" applyFont="1" applyFill="1" applyBorder="1" applyAlignment="1"/>
    <xf numFmtId="43" fontId="6" fillId="0" borderId="1" xfId="1" applyFont="1" applyBorder="1" applyAlignment="1"/>
    <xf numFmtId="44" fontId="0" fillId="0" borderId="0" xfId="0" applyNumberFormat="1"/>
    <xf numFmtId="44" fontId="1" fillId="0" borderId="0" xfId="2" applyFont="1" applyAlignment="1"/>
    <xf numFmtId="43" fontId="0" fillId="0" borderId="0" xfId="0" applyNumberFormat="1"/>
    <xf numFmtId="0" fontId="0" fillId="7" borderId="1" xfId="0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44" fontId="9" fillId="7" borderId="1" xfId="2" applyFont="1" applyFill="1" applyBorder="1" applyAlignment="1" applyProtection="1">
      <protection locked="0"/>
    </xf>
    <xf numFmtId="43" fontId="9" fillId="7" borderId="1" xfId="0" applyNumberFormat="1" applyFont="1" applyFill="1" applyBorder="1" applyProtection="1">
      <protection locked="0"/>
    </xf>
    <xf numFmtId="0" fontId="10" fillId="7" borderId="1" xfId="0" applyFont="1" applyFill="1" applyBorder="1" applyProtection="1">
      <protection locked="0"/>
    </xf>
    <xf numFmtId="0" fontId="9" fillId="7" borderId="1" xfId="0" applyFont="1" applyFill="1" applyBorder="1" applyProtection="1">
      <protection locked="0"/>
    </xf>
    <xf numFmtId="43" fontId="0" fillId="0" borderId="0" xfId="1" applyFont="1" applyFill="1" applyAlignment="1"/>
    <xf numFmtId="0" fontId="2" fillId="5" borderId="0" xfId="0" applyFont="1" applyFill="1" applyProtection="1">
      <protection locked="0"/>
    </xf>
    <xf numFmtId="43" fontId="2" fillId="5" borderId="0" xfId="0" applyNumberFormat="1" applyFont="1" applyFill="1" applyProtection="1">
      <protection locked="0"/>
    </xf>
    <xf numFmtId="43" fontId="0" fillId="0" borderId="5" xfId="1" applyFont="1" applyFill="1" applyBorder="1" applyAlignment="1"/>
    <xf numFmtId="0" fontId="2" fillId="4" borderId="6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0" fillId="0" borderId="9" xfId="0" applyBorder="1"/>
    <xf numFmtId="0" fontId="1" fillId="0" borderId="9" xfId="0" applyFont="1" applyBorder="1"/>
    <xf numFmtId="0" fontId="1" fillId="0" borderId="11" xfId="0" applyFont="1" applyBorder="1"/>
    <xf numFmtId="0" fontId="0" fillId="3" borderId="12" xfId="0" applyFill="1" applyBorder="1"/>
    <xf numFmtId="43" fontId="11" fillId="0" borderId="5" xfId="1" applyFont="1" applyFill="1" applyBorder="1" applyAlignment="1"/>
    <xf numFmtId="0" fontId="0" fillId="0" borderId="14" xfId="0" applyBorder="1"/>
    <xf numFmtId="0" fontId="1" fillId="0" borderId="14" xfId="0" applyFont="1" applyBorder="1"/>
    <xf numFmtId="0" fontId="2" fillId="8" borderId="7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43" fontId="1" fillId="8" borderId="1" xfId="1" applyFont="1" applyFill="1" applyBorder="1" applyAlignment="1"/>
    <xf numFmtId="0" fontId="1" fillId="8" borderId="1" xfId="0" applyFont="1" applyFill="1" applyBorder="1"/>
    <xf numFmtId="0" fontId="0" fillId="8" borderId="1" xfId="0" applyFill="1" applyBorder="1"/>
    <xf numFmtId="0" fontId="0" fillId="8" borderId="12" xfId="0" applyFill="1" applyBorder="1"/>
    <xf numFmtId="0" fontId="0" fillId="8" borderId="0" xfId="0" applyFill="1"/>
    <xf numFmtId="43" fontId="2" fillId="8" borderId="5" xfId="1" applyFont="1" applyFill="1" applyBorder="1" applyAlignment="1">
      <alignment horizontal="center"/>
    </xf>
    <xf numFmtId="43" fontId="2" fillId="8" borderId="5" xfId="1" applyFont="1" applyFill="1" applyBorder="1" applyAlignment="1"/>
    <xf numFmtId="43" fontId="0" fillId="8" borderId="5" xfId="1" applyFont="1" applyFill="1" applyBorder="1" applyAlignment="1"/>
    <xf numFmtId="43" fontId="11" fillId="8" borderId="5" xfId="1" applyFont="1" applyFill="1" applyBorder="1" applyAlignment="1"/>
    <xf numFmtId="43" fontId="0" fillId="8" borderId="0" xfId="1" applyFont="1" applyFill="1" applyAlignment="1"/>
    <xf numFmtId="0" fontId="2" fillId="3" borderId="7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4" fontId="2" fillId="3" borderId="1" xfId="2" applyFont="1" applyFill="1" applyBorder="1" applyAlignment="1" applyProtection="1">
      <protection locked="0"/>
    </xf>
    <xf numFmtId="0" fontId="2" fillId="9" borderId="7" xfId="0" applyFont="1" applyFill="1" applyBorder="1" applyAlignment="1">
      <alignment horizontal="center"/>
    </xf>
    <xf numFmtId="0" fontId="0" fillId="9" borderId="0" xfId="0" applyFill="1"/>
    <xf numFmtId="43" fontId="2" fillId="10" borderId="8" xfId="1" applyFont="1" applyFill="1" applyBorder="1" applyAlignment="1">
      <alignment horizontal="center"/>
    </xf>
    <xf numFmtId="43" fontId="2" fillId="10" borderId="10" xfId="1" applyFont="1" applyFill="1" applyBorder="1" applyAlignment="1"/>
    <xf numFmtId="43" fontId="0" fillId="10" borderId="10" xfId="1" applyFont="1" applyFill="1" applyBorder="1" applyAlignment="1"/>
    <xf numFmtId="43" fontId="0" fillId="10" borderId="13" xfId="1" applyFont="1" applyFill="1" applyBorder="1" applyAlignment="1"/>
    <xf numFmtId="43" fontId="0" fillId="10" borderId="0" xfId="1" applyFont="1" applyFill="1" applyAlignment="1"/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0" xfId="0" applyFill="1"/>
    <xf numFmtId="43" fontId="2" fillId="2" borderId="5" xfId="1" applyFont="1" applyFill="1" applyBorder="1" applyAlignment="1">
      <alignment horizontal="center"/>
    </xf>
    <xf numFmtId="43" fontId="2" fillId="2" borderId="5" xfId="1" applyFont="1" applyFill="1" applyBorder="1" applyAlignment="1"/>
    <xf numFmtId="43" fontId="0" fillId="2" borderId="5" xfId="1" applyFont="1" applyFill="1" applyBorder="1" applyAlignment="1"/>
    <xf numFmtId="43" fontId="11" fillId="2" borderId="5" xfId="1" applyFont="1" applyFill="1" applyBorder="1" applyAlignment="1"/>
    <xf numFmtId="43" fontId="2" fillId="0" borderId="5" xfId="1" applyFont="1" applyFill="1" applyBorder="1" applyAlignment="1">
      <alignment horizontal="center"/>
    </xf>
    <xf numFmtId="43" fontId="2" fillId="0" borderId="5" xfId="1" applyFont="1" applyFill="1" applyBorder="1" applyAlignment="1"/>
    <xf numFmtId="43" fontId="12" fillId="2" borderId="1" xfId="1" applyFont="1" applyFill="1" applyBorder="1" applyAlignment="1"/>
    <xf numFmtId="43" fontId="12" fillId="0" borderId="1" xfId="1" applyFont="1" applyFill="1" applyBorder="1" applyAlignment="1"/>
    <xf numFmtId="44" fontId="12" fillId="0" borderId="1" xfId="2" applyFont="1" applyFill="1" applyBorder="1" applyAlignment="1"/>
    <xf numFmtId="43" fontId="0" fillId="0" borderId="1" xfId="1" applyFont="1" applyBorder="1"/>
    <xf numFmtId="43" fontId="5" fillId="0" borderId="1" xfId="1" applyFont="1" applyBorder="1"/>
    <xf numFmtId="43" fontId="13" fillId="0" borderId="1" xfId="1" applyFont="1" applyBorder="1"/>
    <xf numFmtId="43" fontId="1" fillId="0" borderId="1" xfId="1" applyFont="1" applyBorder="1"/>
    <xf numFmtId="43" fontId="0" fillId="2" borderId="1" xfId="1" applyFont="1" applyFill="1" applyBorder="1"/>
    <xf numFmtId="43" fontId="14" fillId="11" borderId="1" xfId="0" applyNumberFormat="1" applyFont="1" applyFill="1" applyBorder="1"/>
    <xf numFmtId="44" fontId="1" fillId="3" borderId="1" xfId="2" applyFont="1" applyFill="1" applyBorder="1" applyAlignment="1"/>
    <xf numFmtId="44" fontId="0" fillId="3" borderId="1" xfId="2" applyFont="1" applyFill="1" applyBorder="1"/>
    <xf numFmtId="0" fontId="2" fillId="12" borderId="7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43" fontId="1" fillId="12" borderId="1" xfId="1" applyFont="1" applyFill="1" applyBorder="1" applyAlignment="1"/>
    <xf numFmtId="0" fontId="1" fillId="12" borderId="1" xfId="0" applyFont="1" applyFill="1" applyBorder="1"/>
    <xf numFmtId="0" fontId="0" fillId="12" borderId="1" xfId="0" applyFill="1" applyBorder="1"/>
    <xf numFmtId="0" fontId="0" fillId="12" borderId="12" xfId="0" applyFill="1" applyBorder="1"/>
    <xf numFmtId="0" fontId="0" fillId="12" borderId="0" xfId="0" applyFill="1"/>
    <xf numFmtId="0" fontId="2" fillId="5" borderId="7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43" fontId="1" fillId="5" borderId="1" xfId="1" applyFont="1" applyFill="1" applyBorder="1" applyAlignment="1"/>
    <xf numFmtId="0" fontId="1" fillId="5" borderId="1" xfId="0" applyFont="1" applyFill="1" applyBorder="1"/>
    <xf numFmtId="0" fontId="0" fillId="5" borderId="12" xfId="0" applyFill="1" applyBorder="1"/>
    <xf numFmtId="0" fontId="0" fillId="5" borderId="0" xfId="0" applyFill="1"/>
    <xf numFmtId="44" fontId="0" fillId="5" borderId="1" xfId="2" applyFont="1" applyFill="1" applyBorder="1"/>
    <xf numFmtId="43" fontId="0" fillId="5" borderId="1" xfId="1" applyFont="1" applyFill="1" applyBorder="1"/>
    <xf numFmtId="44" fontId="2" fillId="9" borderId="1" xfId="2" applyFont="1" applyFill="1" applyBorder="1" applyAlignment="1">
      <alignment horizontal="right"/>
    </xf>
    <xf numFmtId="44" fontId="0" fillId="9" borderId="1" xfId="2" applyFont="1" applyFill="1" applyBorder="1" applyAlignment="1"/>
    <xf numFmtId="44" fontId="0" fillId="9" borderId="1" xfId="2" applyFont="1" applyFill="1" applyBorder="1"/>
    <xf numFmtId="44" fontId="0" fillId="9" borderId="12" xfId="2" applyFont="1" applyFill="1" applyBorder="1"/>
    <xf numFmtId="44" fontId="0" fillId="9" borderId="0" xfId="2" applyFont="1" applyFill="1"/>
    <xf numFmtId="44" fontId="2" fillId="3" borderId="1" xfId="2" applyFont="1" applyFill="1" applyBorder="1" applyAlignment="1">
      <alignment horizontal="center"/>
    </xf>
    <xf numFmtId="44" fontId="12" fillId="3" borderId="1" xfId="2" applyFont="1" applyFill="1" applyBorder="1" applyAlignment="1"/>
    <xf numFmtId="44" fontId="1" fillId="3" borderId="1" xfId="2" applyFont="1" applyFill="1" applyBorder="1"/>
    <xf numFmtId="44" fontId="0" fillId="3" borderId="12" xfId="2" applyFont="1" applyFill="1" applyBorder="1"/>
    <xf numFmtId="44" fontId="0" fillId="3" borderId="0" xfId="2" applyFont="1" applyFill="1"/>
    <xf numFmtId="44" fontId="2" fillId="5" borderId="7" xfId="2" applyFont="1" applyFill="1" applyBorder="1" applyAlignment="1">
      <alignment horizontal="center"/>
    </xf>
    <xf numFmtId="44" fontId="1" fillId="5" borderId="1" xfId="2" applyFont="1" applyFill="1" applyBorder="1" applyAlignment="1"/>
    <xf numFmtId="44" fontId="1" fillId="5" borderId="1" xfId="2" applyFont="1" applyFill="1" applyBorder="1"/>
    <xf numFmtId="44" fontId="0" fillId="5" borderId="12" xfId="2" applyFont="1" applyFill="1" applyBorder="1"/>
    <xf numFmtId="44" fontId="0" fillId="5" borderId="0" xfId="2" applyFont="1" applyFill="1"/>
    <xf numFmtId="43" fontId="2" fillId="5" borderId="1" xfId="1" applyFont="1" applyFill="1" applyBorder="1" applyAlignment="1">
      <alignment horizontal="center"/>
    </xf>
    <xf numFmtId="0" fontId="15" fillId="4" borderId="0" xfId="0" applyFont="1" applyFill="1" applyAlignment="1">
      <alignment horizontal="center"/>
    </xf>
    <xf numFmtId="4" fontId="16" fillId="0" borderId="0" xfId="0" applyNumberFormat="1" applyFont="1"/>
    <xf numFmtId="0" fontId="16" fillId="0" borderId="0" xfId="0" applyFont="1"/>
    <xf numFmtId="44" fontId="16" fillId="0" borderId="0" xfId="2" applyFont="1" applyAlignment="1"/>
    <xf numFmtId="44" fontId="2" fillId="5" borderId="0" xfId="2" applyFont="1" applyFill="1" applyBorder="1" applyAlignment="1" applyProtection="1">
      <alignment horizontal="center"/>
      <protection locked="0"/>
    </xf>
    <xf numFmtId="44" fontId="0" fillId="5" borderId="1" xfId="2" applyFont="1" applyFill="1" applyBorder="1" applyAlignment="1" applyProtection="1">
      <alignment horizontal="center"/>
      <protection locked="0"/>
    </xf>
    <xf numFmtId="44" fontId="0" fillId="5" borderId="0" xfId="2" applyFont="1" applyFill="1" applyBorder="1" applyAlignment="1"/>
    <xf numFmtId="44" fontId="9" fillId="5" borderId="1" xfId="2" applyFont="1" applyFill="1" applyBorder="1" applyAlignment="1" applyProtection="1">
      <protection locked="0"/>
    </xf>
    <xf numFmtId="44" fontId="0" fillId="5" borderId="1" xfId="2" applyFont="1" applyFill="1" applyBorder="1" applyAlignment="1"/>
    <xf numFmtId="44" fontId="12" fillId="5" borderId="1" xfId="2" applyFont="1" applyFill="1" applyBorder="1" applyAlignment="1"/>
    <xf numFmtId="44" fontId="1" fillId="0" borderId="1" xfId="0" applyNumberFormat="1" applyFont="1" applyBorder="1"/>
    <xf numFmtId="44" fontId="0" fillId="5" borderId="1" xfId="0" applyNumberFormat="1" applyFill="1" applyBorder="1"/>
    <xf numFmtId="44" fontId="0" fillId="9" borderId="1" xfId="0" applyNumberFormat="1" applyFill="1" applyBorder="1"/>
    <xf numFmtId="43" fontId="0" fillId="3" borderId="1" xfId="1" applyFont="1" applyFill="1" applyBorder="1"/>
    <xf numFmtId="0" fontId="1" fillId="0" borderId="15" xfId="0" applyFont="1" applyFill="1" applyBorder="1"/>
    <xf numFmtId="0" fontId="1" fillId="0" borderId="0" xfId="0" applyFont="1" applyFill="1" applyBorder="1"/>
    <xf numFmtId="16" fontId="1" fillId="0" borderId="0" xfId="0" applyNumberFormat="1" applyFont="1"/>
    <xf numFmtId="0" fontId="0" fillId="0" borderId="0" xfId="0" applyFill="1"/>
    <xf numFmtId="0" fontId="1" fillId="0" borderId="0" xfId="0" applyFont="1" applyFill="1"/>
    <xf numFmtId="0" fontId="0" fillId="0" borderId="2" xfId="0" applyFill="1" applyBorder="1"/>
    <xf numFmtId="43" fontId="0" fillId="0" borderId="0" xfId="1" applyFont="1"/>
    <xf numFmtId="43" fontId="0" fillId="2" borderId="12" xfId="1" applyFont="1" applyFill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1393D-93E0-6547-BE37-37C21B49335F}">
  <dimension ref="A1:O204"/>
  <sheetViews>
    <sheetView topLeftCell="A173" zoomScale="125" workbookViewId="0">
      <selection activeCell="D194" sqref="D194"/>
    </sheetView>
  </sheetViews>
  <sheetFormatPr baseColWidth="10" defaultRowHeight="13" x14ac:dyDescent="0.15"/>
  <cols>
    <col min="1" max="1" width="14.1640625" customWidth="1"/>
    <col min="3" max="3" width="21" style="3" customWidth="1"/>
    <col min="4" max="4" width="21" style="4" customWidth="1"/>
    <col min="5" max="5" width="21" style="150" customWidth="1"/>
    <col min="6" max="6" width="51.6640625" customWidth="1"/>
    <col min="8" max="9" width="11.6640625" bestFit="1" customWidth="1"/>
    <col min="10" max="10" width="14.6640625" customWidth="1"/>
    <col min="14" max="14" width="11.6640625" bestFit="1" customWidth="1"/>
  </cols>
  <sheetData>
    <row r="1" spans="1:8" s="5" customFormat="1" ht="36" customHeight="1" x14ac:dyDescent="0.15">
      <c r="C1" s="8" t="s">
        <v>31</v>
      </c>
      <c r="D1" s="9" t="s">
        <v>34</v>
      </c>
      <c r="E1" s="148" t="s">
        <v>168</v>
      </c>
      <c r="F1" s="6" t="s">
        <v>35</v>
      </c>
      <c r="G1" s="6" t="s">
        <v>36</v>
      </c>
    </row>
    <row r="2" spans="1:8" s="11" customFormat="1" ht="25" customHeight="1" x14ac:dyDescent="0.15">
      <c r="A2" s="10" t="s">
        <v>32</v>
      </c>
      <c r="C2" s="13">
        <v>3275177.25</v>
      </c>
      <c r="D2" s="7">
        <v>6782.74</v>
      </c>
      <c r="E2" s="149"/>
      <c r="F2" s="12"/>
    </row>
    <row r="3" spans="1:8" s="25" customFormat="1" ht="26" customHeight="1" x14ac:dyDescent="0.15">
      <c r="D3" s="26"/>
      <c r="E3" s="150"/>
    </row>
    <row r="4" spans="1:8" s="52" customFormat="1" ht="23" customHeight="1" x14ac:dyDescent="0.15">
      <c r="A4" s="56" t="s">
        <v>33</v>
      </c>
      <c r="B4" s="53" t="s">
        <v>84</v>
      </c>
      <c r="C4" s="55">
        <f>C2+SUM(C6:C16)+C19</f>
        <v>2514723.02</v>
      </c>
      <c r="D4" s="54">
        <f>D2+SUM(D6:D15)+D19</f>
        <v>39577.699999999997</v>
      </c>
      <c r="E4" s="151"/>
      <c r="G4" s="57" t="s">
        <v>52</v>
      </c>
    </row>
    <row r="5" spans="1:8" s="52" customFormat="1" ht="23" customHeight="1" x14ac:dyDescent="0.15">
      <c r="A5" s="56" t="s">
        <v>33</v>
      </c>
      <c r="B5" s="53" t="s">
        <v>98</v>
      </c>
      <c r="C5" s="55">
        <f>C2+SUM(C6:C16)+C20</f>
        <v>2881723.13</v>
      </c>
      <c r="D5" s="54">
        <f>D2+SUM(D6:D15)+D20</f>
        <v>39577.699999999997</v>
      </c>
      <c r="E5" s="151"/>
      <c r="G5" s="57"/>
    </row>
    <row r="6" spans="1:8" s="21" customFormat="1" x14ac:dyDescent="0.15">
      <c r="A6" s="20" t="s">
        <v>87</v>
      </c>
      <c r="B6" s="21" t="s">
        <v>26</v>
      </c>
      <c r="C6" s="23">
        <v>-343993.12</v>
      </c>
      <c r="D6" s="4">
        <v>49980</v>
      </c>
      <c r="E6" s="152"/>
      <c r="F6" s="24" t="s">
        <v>112</v>
      </c>
      <c r="G6" s="21">
        <v>-6.88</v>
      </c>
      <c r="H6" s="41">
        <f>C6+C19</f>
        <v>-760454.22999999986</v>
      </c>
    </row>
    <row r="7" spans="1:8" s="21" customFormat="1" x14ac:dyDescent="0.15">
      <c r="A7" s="20"/>
      <c r="C7" s="23"/>
      <c r="D7" s="4"/>
      <c r="E7" s="152"/>
      <c r="F7" s="24"/>
    </row>
    <row r="8" spans="1:8" s="21" customFormat="1" x14ac:dyDescent="0.15">
      <c r="A8" s="20"/>
      <c r="C8" s="23"/>
      <c r="D8" s="4"/>
      <c r="E8" s="152"/>
      <c r="F8" s="24"/>
    </row>
    <row r="9" spans="1:8" s="21" customFormat="1" x14ac:dyDescent="0.15">
      <c r="A9" s="20"/>
      <c r="C9" s="23"/>
      <c r="D9" s="4"/>
      <c r="E9" s="152"/>
      <c r="F9" s="24"/>
    </row>
    <row r="10" spans="1:8" s="21" customFormat="1" x14ac:dyDescent="0.15">
      <c r="A10" s="20"/>
      <c r="C10" s="23"/>
      <c r="D10" s="4"/>
      <c r="E10" s="152"/>
      <c r="F10" s="24"/>
    </row>
    <row r="11" spans="1:8" s="21" customFormat="1" x14ac:dyDescent="0.15">
      <c r="A11" s="20"/>
      <c r="C11" s="23"/>
      <c r="D11" s="4"/>
      <c r="E11" s="152"/>
      <c r="F11" s="24"/>
    </row>
    <row r="12" spans="1:8" s="21" customFormat="1" x14ac:dyDescent="0.15">
      <c r="A12" s="20"/>
      <c r="C12" s="23"/>
      <c r="D12" s="4"/>
      <c r="E12" s="152"/>
      <c r="F12" s="24"/>
    </row>
    <row r="13" spans="1:8" s="21" customFormat="1" x14ac:dyDescent="0.15">
      <c r="A13" s="20"/>
      <c r="C13" s="23"/>
      <c r="D13" s="4"/>
      <c r="E13" s="152"/>
      <c r="F13" s="24"/>
    </row>
    <row r="14" spans="1:8" s="21" customFormat="1" x14ac:dyDescent="0.15">
      <c r="A14" s="20"/>
      <c r="C14" s="23"/>
      <c r="D14" s="4"/>
      <c r="E14" s="152"/>
      <c r="F14" s="24"/>
    </row>
    <row r="15" spans="1:8" s="21" customFormat="1" x14ac:dyDescent="0.15">
      <c r="A15" s="20" t="s">
        <v>72</v>
      </c>
      <c r="B15" s="30" t="s">
        <v>74</v>
      </c>
      <c r="C15" s="23">
        <v>0</v>
      </c>
      <c r="D15" s="4">
        <v>0</v>
      </c>
      <c r="E15" s="152"/>
      <c r="F15" s="24" t="s">
        <v>73</v>
      </c>
      <c r="G15" s="21">
        <v>-7.2</v>
      </c>
    </row>
    <row r="16" spans="1:8" s="25" customFormat="1" ht="35" customHeight="1" x14ac:dyDescent="0.15">
      <c r="A16" s="27"/>
      <c r="C16" s="28"/>
      <c r="D16" s="26"/>
      <c r="E16" s="150"/>
      <c r="F16" s="29"/>
    </row>
    <row r="17" spans="1:15" s="25" customFormat="1" ht="35" customHeight="1" x14ac:dyDescent="0.15">
      <c r="A17" s="27"/>
      <c r="C17" s="28"/>
      <c r="D17" s="26"/>
      <c r="E17" s="150"/>
      <c r="F17" s="29"/>
    </row>
    <row r="18" spans="1:15" s="25" customFormat="1" ht="35" customHeight="1" x14ac:dyDescent="0.15">
      <c r="A18" s="27"/>
      <c r="C18" s="28"/>
      <c r="D18" s="26"/>
      <c r="E18" s="150"/>
      <c r="F18" s="29"/>
    </row>
    <row r="19" spans="1:15" s="15" customFormat="1" ht="23" customHeight="1" x14ac:dyDescent="0.15">
      <c r="A19" s="15" t="s">
        <v>132</v>
      </c>
      <c r="B19" s="15" t="s">
        <v>84</v>
      </c>
      <c r="C19" s="16">
        <f>SUM(C21:C1138)</f>
        <v>-416461.10999999987</v>
      </c>
      <c r="D19" s="14">
        <f>SUM(D21:D120)</f>
        <v>-17185.04</v>
      </c>
      <c r="E19" s="14"/>
      <c r="I19" s="46">
        <f>C19+C6</f>
        <v>-760454.22999999986</v>
      </c>
    </row>
    <row r="20" spans="1:15" s="59" customFormat="1" ht="23" customHeight="1" x14ac:dyDescent="0.15">
      <c r="A20" s="15" t="s">
        <v>132</v>
      </c>
      <c r="B20" s="15" t="s">
        <v>98</v>
      </c>
      <c r="C20" s="16">
        <f>SUM(C21:C120)</f>
        <v>-49460.999999999993</v>
      </c>
      <c r="D20" s="14">
        <f>SUM(D21:D120)</f>
        <v>-17185.04</v>
      </c>
      <c r="E20" s="14"/>
      <c r="F20" s="15"/>
      <c r="G20" s="15"/>
      <c r="I20" s="60"/>
    </row>
    <row r="21" spans="1:15" x14ac:dyDescent="0.15">
      <c r="B21" s="30" t="s">
        <v>101</v>
      </c>
      <c r="C21" s="23"/>
      <c r="D21" s="4">
        <v>-390</v>
      </c>
      <c r="E21" s="152"/>
      <c r="F21" s="30" t="s">
        <v>122</v>
      </c>
      <c r="G21" s="21"/>
      <c r="M21" s="49"/>
      <c r="N21" s="49">
        <v>5000</v>
      </c>
      <c r="O21" s="2" t="s">
        <v>113</v>
      </c>
    </row>
    <row r="22" spans="1:15" x14ac:dyDescent="0.15">
      <c r="B22" s="30"/>
      <c r="C22" s="23"/>
      <c r="E22" s="152"/>
      <c r="F22" s="30"/>
      <c r="G22" s="21"/>
      <c r="N22">
        <v>1000</v>
      </c>
      <c r="O22" s="2" t="s">
        <v>109</v>
      </c>
    </row>
    <row r="23" spans="1:15" x14ac:dyDescent="0.15">
      <c r="B23" s="21" t="s">
        <v>30</v>
      </c>
      <c r="C23" s="23"/>
      <c r="D23" s="4">
        <v>-249</v>
      </c>
      <c r="E23" s="152"/>
      <c r="F23" s="30" t="s">
        <v>100</v>
      </c>
      <c r="G23" s="21"/>
      <c r="N23">
        <v>1000</v>
      </c>
      <c r="O23" s="2" t="s">
        <v>110</v>
      </c>
    </row>
    <row r="24" spans="1:15" x14ac:dyDescent="0.15">
      <c r="B24" s="21" t="s">
        <v>29</v>
      </c>
      <c r="C24" s="23"/>
      <c r="D24" s="4">
        <v>-435</v>
      </c>
      <c r="E24" s="152"/>
      <c r="F24" s="30" t="s">
        <v>123</v>
      </c>
      <c r="G24" s="21"/>
      <c r="N24">
        <v>3000</v>
      </c>
      <c r="O24" s="2" t="s">
        <v>114</v>
      </c>
    </row>
    <row r="25" spans="1:15" x14ac:dyDescent="0.15">
      <c r="B25" s="21"/>
      <c r="C25" s="23"/>
      <c r="D25" s="4">
        <v>-133.6</v>
      </c>
      <c r="E25" s="152"/>
      <c r="F25" s="30" t="s">
        <v>104</v>
      </c>
      <c r="G25" s="21"/>
      <c r="N25">
        <v>5100</v>
      </c>
    </row>
    <row r="26" spans="1:15" x14ac:dyDescent="0.15">
      <c r="B26" s="21"/>
      <c r="C26" s="23"/>
      <c r="D26" s="4">
        <v>-2954.8</v>
      </c>
      <c r="E26" s="152"/>
      <c r="F26" s="30" t="s">
        <v>99</v>
      </c>
      <c r="G26" s="21"/>
      <c r="N26">
        <v>1682</v>
      </c>
    </row>
    <row r="27" spans="1:15" x14ac:dyDescent="0.15">
      <c r="B27" s="21"/>
      <c r="C27" s="23"/>
      <c r="D27" s="4">
        <v>-1000</v>
      </c>
      <c r="E27" s="152"/>
      <c r="F27" s="30" t="s">
        <v>37</v>
      </c>
      <c r="G27" s="21"/>
    </row>
    <row r="28" spans="1:15" x14ac:dyDescent="0.15">
      <c r="B28" s="21"/>
      <c r="C28" s="23"/>
      <c r="D28" s="4">
        <v>-1000</v>
      </c>
      <c r="E28" s="152"/>
      <c r="F28" s="30" t="s">
        <v>129</v>
      </c>
      <c r="G28" s="21"/>
    </row>
    <row r="29" spans="1:15" x14ac:dyDescent="0.15">
      <c r="B29" s="21"/>
      <c r="C29" s="23"/>
      <c r="E29" s="152"/>
      <c r="F29" s="30" t="s">
        <v>124</v>
      </c>
      <c r="G29" s="21"/>
    </row>
    <row r="30" spans="1:15" x14ac:dyDescent="0.15">
      <c r="B30" s="21"/>
      <c r="C30" s="23"/>
      <c r="E30" s="152"/>
      <c r="F30" s="30" t="s">
        <v>121</v>
      </c>
      <c r="G30" s="21"/>
    </row>
    <row r="31" spans="1:15" x14ac:dyDescent="0.15">
      <c r="B31" s="21"/>
      <c r="C31" s="23"/>
      <c r="E31" s="152"/>
      <c r="F31" s="30" t="s">
        <v>125</v>
      </c>
      <c r="G31" s="21"/>
    </row>
    <row r="32" spans="1:15" x14ac:dyDescent="0.15">
      <c r="B32" s="21"/>
      <c r="C32" s="23"/>
      <c r="E32" s="152"/>
      <c r="F32" s="30" t="s">
        <v>126</v>
      </c>
      <c r="G32" s="21"/>
    </row>
    <row r="33" spans="2:7" x14ac:dyDescent="0.15">
      <c r="B33" s="21"/>
      <c r="C33" s="23"/>
      <c r="D33" s="4">
        <v>0</v>
      </c>
      <c r="E33" s="152"/>
      <c r="F33" s="30" t="s">
        <v>127</v>
      </c>
      <c r="G33" s="21"/>
    </row>
    <row r="34" spans="2:7" x14ac:dyDescent="0.15">
      <c r="B34" s="21"/>
      <c r="C34" s="23"/>
      <c r="D34" s="4">
        <v>0</v>
      </c>
      <c r="E34" s="152"/>
      <c r="F34" s="30" t="s">
        <v>108</v>
      </c>
      <c r="G34" s="21"/>
    </row>
    <row r="35" spans="2:7" x14ac:dyDescent="0.15">
      <c r="B35" s="21"/>
      <c r="C35" s="23"/>
      <c r="D35" s="4">
        <v>-1000</v>
      </c>
      <c r="E35" s="152"/>
      <c r="F35" s="30" t="s">
        <v>128</v>
      </c>
      <c r="G35" s="21"/>
    </row>
    <row r="36" spans="2:7" x14ac:dyDescent="0.15">
      <c r="B36" s="21"/>
      <c r="C36" s="34"/>
      <c r="D36" s="42"/>
      <c r="E36" s="152"/>
      <c r="F36" s="30"/>
      <c r="G36" s="21"/>
    </row>
    <row r="37" spans="2:7" x14ac:dyDescent="0.15">
      <c r="B37" s="32" t="s">
        <v>79</v>
      </c>
      <c r="C37" s="23">
        <v>-1030.24</v>
      </c>
      <c r="E37" s="152"/>
      <c r="F37" s="21" t="s">
        <v>80</v>
      </c>
      <c r="G37" s="21"/>
    </row>
    <row r="38" spans="2:7" x14ac:dyDescent="0.15">
      <c r="B38" s="32" t="s">
        <v>79</v>
      </c>
      <c r="C38" s="23">
        <v>-314.75</v>
      </c>
      <c r="E38" s="152"/>
      <c r="F38" s="21" t="s">
        <v>60</v>
      </c>
      <c r="G38" s="21"/>
    </row>
    <row r="39" spans="2:7" x14ac:dyDescent="0.15">
      <c r="B39" s="32" t="s">
        <v>79</v>
      </c>
      <c r="C39" s="23">
        <v>-198.3</v>
      </c>
      <c r="E39" s="152"/>
      <c r="F39" s="43" t="s">
        <v>81</v>
      </c>
      <c r="G39" s="21"/>
    </row>
    <row r="40" spans="2:7" x14ac:dyDescent="0.15">
      <c r="B40" s="32" t="s">
        <v>79</v>
      </c>
      <c r="C40" s="23">
        <v>-125</v>
      </c>
      <c r="E40" s="152"/>
      <c r="F40" s="42" t="s">
        <v>82</v>
      </c>
      <c r="G40" s="21"/>
    </row>
    <row r="41" spans="2:7" x14ac:dyDescent="0.15">
      <c r="B41" s="30" t="s">
        <v>79</v>
      </c>
      <c r="C41" s="23">
        <f>G41-SUM(C37:C40)</f>
        <v>-65.860000000000127</v>
      </c>
      <c r="E41" s="152"/>
      <c r="F41" s="30" t="s">
        <v>83</v>
      </c>
      <c r="G41" s="44">
        <v>-1734.15</v>
      </c>
    </row>
    <row r="42" spans="2:7" x14ac:dyDescent="0.15">
      <c r="B42" s="30"/>
      <c r="C42" s="34"/>
      <c r="E42" s="152"/>
      <c r="F42" s="30"/>
      <c r="G42" s="30"/>
    </row>
    <row r="43" spans="2:7" x14ac:dyDescent="0.15">
      <c r="B43" s="30"/>
      <c r="C43" s="34"/>
      <c r="D43" s="42"/>
      <c r="G43" s="30"/>
    </row>
    <row r="44" spans="2:7" x14ac:dyDescent="0.15">
      <c r="B44" s="30"/>
      <c r="C44" s="34"/>
      <c r="D44" s="42"/>
      <c r="E44" s="152"/>
      <c r="F44" s="30"/>
      <c r="G44" s="30"/>
    </row>
    <row r="45" spans="2:7" x14ac:dyDescent="0.15">
      <c r="B45" s="30" t="s">
        <v>21</v>
      </c>
      <c r="C45" s="23">
        <v>0</v>
      </c>
      <c r="E45" s="152"/>
      <c r="F45" s="30"/>
      <c r="G45" s="30"/>
    </row>
    <row r="46" spans="2:7" x14ac:dyDescent="0.15">
      <c r="B46" s="30" t="s">
        <v>21</v>
      </c>
      <c r="C46" s="23">
        <v>-16560</v>
      </c>
      <c r="E46" s="152"/>
      <c r="F46" s="43" t="s">
        <v>88</v>
      </c>
      <c r="G46" s="30"/>
    </row>
    <row r="47" spans="2:7" x14ac:dyDescent="0.15">
      <c r="B47" s="30" t="s">
        <v>21</v>
      </c>
      <c r="C47" s="23">
        <v>-343</v>
      </c>
      <c r="E47" s="152"/>
      <c r="F47" s="43" t="s">
        <v>53</v>
      </c>
      <c r="G47" s="44"/>
    </row>
    <row r="48" spans="2:7" x14ac:dyDescent="0.15">
      <c r="B48" s="30" t="s">
        <v>21</v>
      </c>
      <c r="C48" s="23">
        <v>-252</v>
      </c>
      <c r="E48" s="152"/>
      <c r="F48" s="21" t="s">
        <v>60</v>
      </c>
      <c r="G48" s="44"/>
    </row>
    <row r="49" spans="1:7" x14ac:dyDescent="0.15">
      <c r="B49" s="30" t="s">
        <v>21</v>
      </c>
      <c r="C49" s="23">
        <v>-150</v>
      </c>
      <c r="E49" s="152"/>
      <c r="F49" s="21" t="s">
        <v>90</v>
      </c>
      <c r="G49" s="44"/>
    </row>
    <row r="50" spans="1:7" x14ac:dyDescent="0.15">
      <c r="A50" s="2"/>
      <c r="B50" s="30" t="s">
        <v>21</v>
      </c>
      <c r="C50" s="23">
        <v>-55</v>
      </c>
      <c r="E50" s="152"/>
      <c r="F50" s="21" t="s">
        <v>89</v>
      </c>
      <c r="G50" s="44"/>
    </row>
    <row r="51" spans="1:7" x14ac:dyDescent="0.15">
      <c r="A51" s="2"/>
      <c r="B51" s="30" t="s">
        <v>21</v>
      </c>
      <c r="C51" s="23">
        <v>-27</v>
      </c>
      <c r="E51" s="152"/>
      <c r="F51" s="43" t="s">
        <v>56</v>
      </c>
      <c r="G51" s="44"/>
    </row>
    <row r="52" spans="1:7" x14ac:dyDescent="0.15">
      <c r="A52" s="2"/>
      <c r="B52" s="30" t="s">
        <v>21</v>
      </c>
      <c r="C52" s="23">
        <v>-10</v>
      </c>
      <c r="E52" s="152"/>
      <c r="F52" s="30" t="s">
        <v>93</v>
      </c>
      <c r="G52" s="44"/>
    </row>
    <row r="53" spans="1:7" x14ac:dyDescent="0.15">
      <c r="A53" s="2"/>
      <c r="B53" s="30" t="s">
        <v>21</v>
      </c>
      <c r="C53" s="23">
        <v>-0.9</v>
      </c>
      <c r="E53" s="152"/>
      <c r="F53" s="21" t="s">
        <v>94</v>
      </c>
      <c r="G53" s="44"/>
    </row>
    <row r="54" spans="1:7" x14ac:dyDescent="0.15">
      <c r="B54" s="30" t="s">
        <v>21</v>
      </c>
      <c r="C54" s="23">
        <f>G54-SUM(C45:C53)</f>
        <v>0</v>
      </c>
      <c r="E54" s="152"/>
      <c r="F54" s="30" t="s">
        <v>83</v>
      </c>
      <c r="G54" s="44">
        <v>-17397.900000000001</v>
      </c>
    </row>
    <row r="55" spans="1:7" x14ac:dyDescent="0.15">
      <c r="B55" s="30"/>
      <c r="C55" s="23"/>
      <c r="E55" s="152"/>
      <c r="F55" s="42"/>
      <c r="G55" s="44"/>
    </row>
    <row r="56" spans="1:7" x14ac:dyDescent="0.15">
      <c r="B56" s="30"/>
      <c r="C56" s="34"/>
      <c r="D56" s="42"/>
      <c r="E56" s="152"/>
      <c r="F56" s="30"/>
      <c r="G56" s="30"/>
    </row>
    <row r="57" spans="1:7" x14ac:dyDescent="0.15">
      <c r="B57" s="30" t="s">
        <v>14</v>
      </c>
      <c r="C57" s="23"/>
      <c r="E57" s="152"/>
      <c r="F57" s="21" t="s">
        <v>13</v>
      </c>
      <c r="G57" s="30" t="s">
        <v>15</v>
      </c>
    </row>
    <row r="58" spans="1:7" x14ac:dyDescent="0.15">
      <c r="B58" s="21" t="s">
        <v>12</v>
      </c>
      <c r="C58" s="23"/>
      <c r="E58" s="152"/>
      <c r="F58" s="21" t="s">
        <v>27</v>
      </c>
      <c r="G58" s="30" t="s">
        <v>15</v>
      </c>
    </row>
    <row r="59" spans="1:7" x14ac:dyDescent="0.15">
      <c r="B59" s="21" t="s">
        <v>9</v>
      </c>
      <c r="C59" s="23"/>
      <c r="E59" s="152"/>
      <c r="F59" s="21" t="s">
        <v>11</v>
      </c>
      <c r="G59" s="30" t="s">
        <v>15</v>
      </c>
    </row>
    <row r="60" spans="1:7" x14ac:dyDescent="0.15">
      <c r="B60" s="21" t="s">
        <v>8</v>
      </c>
      <c r="C60" s="23"/>
      <c r="E60" s="152"/>
      <c r="F60" s="21" t="s">
        <v>28</v>
      </c>
      <c r="G60" s="30" t="s">
        <v>15</v>
      </c>
    </row>
    <row r="61" spans="1:7" x14ac:dyDescent="0.15">
      <c r="B61" s="21" t="s">
        <v>6</v>
      </c>
      <c r="C61" s="23"/>
      <c r="E61" s="152"/>
      <c r="F61" s="30" t="s">
        <v>7</v>
      </c>
      <c r="G61" s="30" t="s">
        <v>15</v>
      </c>
    </row>
    <row r="62" spans="1:7" x14ac:dyDescent="0.15">
      <c r="B62" s="31" t="s">
        <v>3</v>
      </c>
      <c r="C62" s="23"/>
      <c r="E62" s="152"/>
      <c r="F62" s="21" t="s">
        <v>10</v>
      </c>
      <c r="G62" s="30" t="s">
        <v>15</v>
      </c>
    </row>
    <row r="63" spans="1:7" x14ac:dyDescent="0.15">
      <c r="B63" s="32" t="s">
        <v>22</v>
      </c>
      <c r="C63" s="23"/>
      <c r="E63" s="152"/>
      <c r="F63" s="30" t="s">
        <v>20</v>
      </c>
      <c r="G63" s="30" t="s">
        <v>15</v>
      </c>
    </row>
    <row r="64" spans="1:7" x14ac:dyDescent="0.15">
      <c r="B64" s="32" t="s">
        <v>22</v>
      </c>
      <c r="C64" s="23"/>
      <c r="E64" s="152"/>
      <c r="F64" s="30" t="s">
        <v>20</v>
      </c>
      <c r="G64" s="30" t="s">
        <v>15</v>
      </c>
    </row>
    <row r="65" spans="2:7" x14ac:dyDescent="0.15">
      <c r="B65" s="32" t="s">
        <v>5</v>
      </c>
      <c r="C65" s="23"/>
      <c r="E65" s="152"/>
      <c r="F65" s="30" t="s">
        <v>38</v>
      </c>
      <c r="G65" s="30" t="s">
        <v>15</v>
      </c>
    </row>
    <row r="66" spans="2:7" x14ac:dyDescent="0.15">
      <c r="B66" s="31" t="s">
        <v>5</v>
      </c>
      <c r="C66" s="23"/>
      <c r="E66" s="152"/>
      <c r="F66" s="21" t="s">
        <v>4</v>
      </c>
      <c r="G66" s="30" t="s">
        <v>15</v>
      </c>
    </row>
    <row r="67" spans="2:7" x14ac:dyDescent="0.15">
      <c r="B67" s="32" t="s">
        <v>23</v>
      </c>
      <c r="C67" s="23"/>
      <c r="E67" s="152"/>
      <c r="F67" s="30" t="s">
        <v>24</v>
      </c>
      <c r="G67" s="30" t="s">
        <v>15</v>
      </c>
    </row>
    <row r="68" spans="2:7" x14ac:dyDescent="0.15">
      <c r="B68" s="32" t="s">
        <v>0</v>
      </c>
      <c r="C68" s="23"/>
      <c r="E68" s="152"/>
      <c r="F68" s="30" t="s">
        <v>25</v>
      </c>
      <c r="G68" s="30"/>
    </row>
    <row r="69" spans="2:7" x14ac:dyDescent="0.15">
      <c r="B69" s="31" t="s">
        <v>0</v>
      </c>
      <c r="C69" s="23"/>
      <c r="E69" s="152"/>
      <c r="F69" s="21" t="s">
        <v>2</v>
      </c>
      <c r="G69" s="30" t="s">
        <v>18</v>
      </c>
    </row>
    <row r="70" spans="2:7" x14ac:dyDescent="0.15">
      <c r="B70" s="31" t="s">
        <v>0</v>
      </c>
      <c r="C70" s="23"/>
      <c r="E70" s="152"/>
      <c r="F70" s="21" t="s">
        <v>1</v>
      </c>
      <c r="G70" s="30" t="s">
        <v>18</v>
      </c>
    </row>
    <row r="71" spans="2:7" x14ac:dyDescent="0.15">
      <c r="B71" s="32" t="s">
        <v>19</v>
      </c>
      <c r="C71" s="23"/>
      <c r="E71" s="152"/>
      <c r="F71" s="30" t="s">
        <v>20</v>
      </c>
      <c r="G71" s="30"/>
    </row>
    <row r="72" spans="2:7" x14ac:dyDescent="0.15">
      <c r="B72" s="32" t="s">
        <v>19</v>
      </c>
      <c r="C72" s="23"/>
      <c r="E72" s="152"/>
      <c r="F72" s="30" t="s">
        <v>20</v>
      </c>
      <c r="G72" s="30"/>
    </row>
    <row r="73" spans="2:7" x14ac:dyDescent="0.15">
      <c r="B73" s="32" t="s">
        <v>19</v>
      </c>
      <c r="C73" s="23"/>
      <c r="E73" s="152"/>
      <c r="F73" s="30" t="s">
        <v>20</v>
      </c>
      <c r="G73" s="30"/>
    </row>
    <row r="74" spans="2:7" x14ac:dyDescent="0.15">
      <c r="B74" s="32" t="s">
        <v>19</v>
      </c>
      <c r="C74" s="23"/>
      <c r="E74" s="152"/>
      <c r="F74" s="30" t="s">
        <v>20</v>
      </c>
      <c r="G74" s="30"/>
    </row>
    <row r="75" spans="2:7" x14ac:dyDescent="0.15">
      <c r="B75" s="30" t="s">
        <v>17</v>
      </c>
      <c r="C75" s="23"/>
      <c r="E75" s="152"/>
      <c r="F75" s="30" t="s">
        <v>16</v>
      </c>
      <c r="G75" s="30" t="s">
        <v>15</v>
      </c>
    </row>
    <row r="76" spans="2:7" x14ac:dyDescent="0.15">
      <c r="B76" s="30" t="s">
        <v>17</v>
      </c>
      <c r="C76" s="23"/>
      <c r="E76" s="152"/>
      <c r="F76" s="30"/>
      <c r="G76" s="30"/>
    </row>
    <row r="77" spans="2:7" x14ac:dyDescent="0.15">
      <c r="B77" s="30" t="s">
        <v>17</v>
      </c>
      <c r="C77" s="23">
        <v>-7238</v>
      </c>
      <c r="E77" s="152"/>
      <c r="F77" s="30" t="s">
        <v>61</v>
      </c>
      <c r="G77" s="30"/>
    </row>
    <row r="78" spans="2:7" x14ac:dyDescent="0.15">
      <c r="B78" s="30" t="s">
        <v>17</v>
      </c>
      <c r="C78" s="23">
        <v>-2380.5</v>
      </c>
      <c r="E78" s="152"/>
      <c r="F78" s="30" t="s">
        <v>96</v>
      </c>
      <c r="G78" s="30"/>
    </row>
    <row r="79" spans="2:7" x14ac:dyDescent="0.15">
      <c r="B79" s="30" t="s">
        <v>17</v>
      </c>
      <c r="C79" s="23">
        <v>-880.38</v>
      </c>
      <c r="E79" s="152"/>
      <c r="F79" s="30" t="s">
        <v>97</v>
      </c>
      <c r="G79" s="30"/>
    </row>
    <row r="80" spans="2:7" x14ac:dyDescent="0.15">
      <c r="B80" s="30" t="s">
        <v>17</v>
      </c>
      <c r="C80" s="23">
        <v>-296</v>
      </c>
      <c r="E80" s="152"/>
      <c r="F80" s="30" t="s">
        <v>95</v>
      </c>
      <c r="G80" s="30"/>
    </row>
    <row r="81" spans="2:7" x14ac:dyDescent="0.15">
      <c r="B81" s="30" t="s">
        <v>17</v>
      </c>
      <c r="C81" s="23">
        <v>-232</v>
      </c>
      <c r="E81" s="152"/>
      <c r="F81" s="43" t="s">
        <v>56</v>
      </c>
      <c r="G81" s="30"/>
    </row>
    <row r="82" spans="2:7" x14ac:dyDescent="0.15">
      <c r="B82" s="30" t="s">
        <v>17</v>
      </c>
      <c r="C82" s="23">
        <v>-190</v>
      </c>
      <c r="E82" s="152"/>
      <c r="F82" s="30" t="s">
        <v>24</v>
      </c>
      <c r="G82" s="30"/>
    </row>
    <row r="83" spans="2:7" x14ac:dyDescent="0.15">
      <c r="B83" s="30" t="s">
        <v>17</v>
      </c>
      <c r="C83" s="23">
        <v>-137</v>
      </c>
      <c r="E83" s="152"/>
      <c r="F83" s="30" t="s">
        <v>59</v>
      </c>
      <c r="G83" s="30"/>
    </row>
    <row r="84" spans="2:7" x14ac:dyDescent="0.15">
      <c r="B84" s="30" t="s">
        <v>17</v>
      </c>
      <c r="C84" s="23">
        <v>-100</v>
      </c>
      <c r="E84" s="152"/>
      <c r="F84" s="21" t="s">
        <v>90</v>
      </c>
      <c r="G84" s="30"/>
    </row>
    <row r="85" spans="2:7" x14ac:dyDescent="0.15">
      <c r="B85" s="30" t="s">
        <v>17</v>
      </c>
      <c r="C85" s="23">
        <f>G85-SUM(C77:C84)</f>
        <v>-1353.4000000000015</v>
      </c>
      <c r="E85" s="152"/>
      <c r="F85" s="30" t="s">
        <v>83</v>
      </c>
      <c r="G85" s="44">
        <v>-12807.28</v>
      </c>
    </row>
    <row r="86" spans="2:7" x14ac:dyDescent="0.15">
      <c r="B86" s="32"/>
      <c r="C86" s="34"/>
      <c r="D86" s="42"/>
      <c r="E86" s="152"/>
      <c r="F86" s="30"/>
      <c r="G86" s="21"/>
    </row>
    <row r="87" spans="2:7" x14ac:dyDescent="0.15">
      <c r="B87" s="32" t="s">
        <v>48</v>
      </c>
      <c r="C87" s="23">
        <v>-1010</v>
      </c>
      <c r="E87" s="152"/>
      <c r="F87" s="21" t="s">
        <v>58</v>
      </c>
      <c r="G87" s="21"/>
    </row>
    <row r="88" spans="2:7" x14ac:dyDescent="0.15">
      <c r="B88" s="32" t="s">
        <v>48</v>
      </c>
      <c r="C88" s="23">
        <v>-683</v>
      </c>
      <c r="E88" s="152"/>
      <c r="F88" s="30" t="s">
        <v>59</v>
      </c>
      <c r="G88" s="21"/>
    </row>
    <row r="89" spans="2:7" x14ac:dyDescent="0.15">
      <c r="B89" s="32" t="s">
        <v>48</v>
      </c>
      <c r="C89" s="23">
        <v>-544.70000000000005</v>
      </c>
      <c r="E89" s="152"/>
      <c r="F89" s="30" t="s">
        <v>60</v>
      </c>
      <c r="G89" s="21"/>
    </row>
    <row r="90" spans="2:7" x14ac:dyDescent="0.15">
      <c r="B90" s="32" t="s">
        <v>48</v>
      </c>
      <c r="C90" s="23">
        <v>-459.99</v>
      </c>
      <c r="E90" s="152"/>
      <c r="F90" s="43" t="s">
        <v>56</v>
      </c>
      <c r="G90" s="21"/>
    </row>
    <row r="91" spans="2:7" x14ac:dyDescent="0.15">
      <c r="B91" s="32" t="s">
        <v>48</v>
      </c>
      <c r="C91" s="23">
        <v>-416</v>
      </c>
      <c r="E91" s="152"/>
      <c r="F91" s="30" t="s">
        <v>61</v>
      </c>
      <c r="G91" s="21"/>
    </row>
    <row r="92" spans="2:7" x14ac:dyDescent="0.15">
      <c r="B92" s="32" t="s">
        <v>48</v>
      </c>
      <c r="C92" s="23">
        <v>-268</v>
      </c>
      <c r="E92" s="152"/>
      <c r="F92" s="21" t="s">
        <v>62</v>
      </c>
      <c r="G92" s="21"/>
    </row>
    <row r="93" spans="2:7" x14ac:dyDescent="0.15">
      <c r="B93" s="32" t="s">
        <v>48</v>
      </c>
      <c r="C93" s="23">
        <v>-259.3</v>
      </c>
      <c r="E93" s="152"/>
      <c r="F93" s="42" t="s">
        <v>53</v>
      </c>
      <c r="G93" s="21"/>
    </row>
    <row r="94" spans="2:7" x14ac:dyDescent="0.15">
      <c r="B94" s="32" t="s">
        <v>48</v>
      </c>
      <c r="C94" s="23">
        <v>-120</v>
      </c>
      <c r="E94" s="152"/>
      <c r="F94" s="30" t="s">
        <v>63</v>
      </c>
      <c r="G94" s="21"/>
    </row>
    <row r="95" spans="2:7" x14ac:dyDescent="0.15">
      <c r="B95" s="32" t="s">
        <v>48</v>
      </c>
      <c r="C95" s="23">
        <v>-34</v>
      </c>
      <c r="E95" s="152"/>
      <c r="F95" s="21" t="s">
        <v>64</v>
      </c>
      <c r="G95" s="21"/>
    </row>
    <row r="96" spans="2:7" x14ac:dyDescent="0.15">
      <c r="B96" s="32" t="s">
        <v>48</v>
      </c>
      <c r="C96" s="23">
        <v>-26.8</v>
      </c>
      <c r="E96" s="152"/>
      <c r="F96" s="30" t="s">
        <v>65</v>
      </c>
      <c r="G96" s="21"/>
    </row>
    <row r="97" spans="2:7" x14ac:dyDescent="0.15">
      <c r="B97" s="32" t="s">
        <v>48</v>
      </c>
      <c r="C97" s="23">
        <v>-38.9</v>
      </c>
      <c r="E97" s="152"/>
      <c r="F97" s="30" t="s">
        <v>66</v>
      </c>
      <c r="G97" s="45">
        <v>-3860.69</v>
      </c>
    </row>
    <row r="98" spans="2:7" x14ac:dyDescent="0.15">
      <c r="B98" s="21"/>
      <c r="C98" s="34"/>
      <c r="D98" s="42"/>
      <c r="E98" s="152"/>
      <c r="F98" s="30"/>
      <c r="G98" s="21"/>
    </row>
    <row r="99" spans="2:7" x14ac:dyDescent="0.15">
      <c r="B99" s="32" t="s">
        <v>52</v>
      </c>
      <c r="C99" s="23">
        <v>-3591.7</v>
      </c>
      <c r="E99" s="152"/>
      <c r="F99" s="30" t="s">
        <v>67</v>
      </c>
      <c r="G99" s="21"/>
    </row>
    <row r="100" spans="2:7" x14ac:dyDescent="0.15">
      <c r="B100" s="32" t="s">
        <v>52</v>
      </c>
      <c r="C100" s="23">
        <v>-2009.34</v>
      </c>
      <c r="E100" s="152"/>
      <c r="F100" s="43" t="s">
        <v>91</v>
      </c>
      <c r="G100" s="21"/>
    </row>
    <row r="101" spans="2:7" x14ac:dyDescent="0.15">
      <c r="B101" s="32" t="s">
        <v>52</v>
      </c>
      <c r="C101" s="23">
        <v>-1601</v>
      </c>
      <c r="E101" s="152"/>
      <c r="F101" s="43" t="s">
        <v>92</v>
      </c>
      <c r="G101" s="21"/>
    </row>
    <row r="102" spans="2:7" x14ac:dyDescent="0.15">
      <c r="B102" s="32" t="s">
        <v>52</v>
      </c>
      <c r="C102" s="23">
        <v>-950</v>
      </c>
      <c r="E102" s="152"/>
      <c r="F102" s="43" t="s">
        <v>86</v>
      </c>
      <c r="G102" s="21"/>
    </row>
    <row r="103" spans="2:7" x14ac:dyDescent="0.15">
      <c r="B103" s="32" t="s">
        <v>52</v>
      </c>
      <c r="C103" s="23">
        <v>-898</v>
      </c>
      <c r="E103" s="152"/>
      <c r="F103" s="43" t="s">
        <v>57</v>
      </c>
      <c r="G103" s="21"/>
    </row>
    <row r="104" spans="2:7" x14ac:dyDescent="0.15">
      <c r="B104" s="32" t="s">
        <v>52</v>
      </c>
      <c r="C104" s="23">
        <v>-546.95000000000005</v>
      </c>
      <c r="E104" s="152"/>
      <c r="F104" s="42" t="s">
        <v>56</v>
      </c>
      <c r="G104" s="21"/>
    </row>
    <row r="105" spans="2:7" x14ac:dyDescent="0.15">
      <c r="B105" s="32" t="s">
        <v>52</v>
      </c>
      <c r="C105" s="23">
        <v>-474.7</v>
      </c>
      <c r="E105" s="152"/>
      <c r="F105" s="43" t="s">
        <v>71</v>
      </c>
      <c r="G105" s="21"/>
    </row>
    <row r="106" spans="2:7" x14ac:dyDescent="0.15">
      <c r="B106" s="32" t="s">
        <v>52</v>
      </c>
      <c r="C106" s="23">
        <v>-420</v>
      </c>
      <c r="E106" s="152"/>
      <c r="F106" s="43" t="s">
        <v>55</v>
      </c>
      <c r="G106" s="21"/>
    </row>
    <row r="107" spans="2:7" x14ac:dyDescent="0.15">
      <c r="B107" s="32" t="s">
        <v>52</v>
      </c>
      <c r="C107" s="23">
        <v>-350</v>
      </c>
      <c r="E107" s="152"/>
      <c r="F107" s="42" t="s">
        <v>54</v>
      </c>
      <c r="G107" s="21"/>
    </row>
    <row r="108" spans="2:7" x14ac:dyDescent="0.15">
      <c r="B108" s="32" t="s">
        <v>52</v>
      </c>
      <c r="C108" s="23">
        <v>-344.8</v>
      </c>
      <c r="E108" s="152"/>
      <c r="F108" s="43" t="s">
        <v>53</v>
      </c>
      <c r="G108" s="21"/>
    </row>
    <row r="109" spans="2:7" x14ac:dyDescent="0.15">
      <c r="B109" s="32" t="s">
        <v>52</v>
      </c>
      <c r="C109" s="23">
        <v>-1015.6</v>
      </c>
      <c r="E109" s="152"/>
      <c r="F109" s="43" t="s">
        <v>70</v>
      </c>
      <c r="G109" s="45">
        <v>-12202.09</v>
      </c>
    </row>
    <row r="110" spans="2:7" x14ac:dyDescent="0.15">
      <c r="B110" s="30" t="s">
        <v>106</v>
      </c>
      <c r="C110" s="23">
        <v>-898</v>
      </c>
      <c r="D110" s="4">
        <v>-4948.92</v>
      </c>
      <c r="E110" s="152"/>
      <c r="F110" s="30" t="s">
        <v>134</v>
      </c>
      <c r="G110" s="21"/>
    </row>
    <row r="111" spans="2:7" x14ac:dyDescent="0.15">
      <c r="B111" s="30" t="s">
        <v>107</v>
      </c>
      <c r="C111" s="33"/>
      <c r="D111" s="4">
        <v>-2430.7199999999998</v>
      </c>
      <c r="E111" s="152"/>
      <c r="F111" s="30" t="s">
        <v>105</v>
      </c>
      <c r="G111" s="21"/>
    </row>
    <row r="112" spans="2:7" x14ac:dyDescent="0.15">
      <c r="B112" s="30" t="s">
        <v>47</v>
      </c>
      <c r="C112" s="23"/>
      <c r="E112" s="152"/>
      <c r="F112" s="30" t="s">
        <v>69</v>
      </c>
      <c r="G112" s="21"/>
    </row>
    <row r="113" spans="2:10" x14ac:dyDescent="0.15">
      <c r="B113" s="30" t="s">
        <v>46</v>
      </c>
      <c r="C113" s="23"/>
      <c r="E113" s="152"/>
      <c r="F113" s="30" t="s">
        <v>68</v>
      </c>
      <c r="G113" s="21"/>
    </row>
    <row r="114" spans="2:10" x14ac:dyDescent="0.15">
      <c r="B114" s="30"/>
      <c r="C114" s="34"/>
      <c r="D114" s="42"/>
      <c r="E114" s="152"/>
      <c r="F114" s="30"/>
      <c r="G114" s="21"/>
    </row>
    <row r="115" spans="2:10" x14ac:dyDescent="0.15">
      <c r="B115" s="30" t="s">
        <v>39</v>
      </c>
      <c r="C115" s="23">
        <v>-410.89</v>
      </c>
      <c r="D115" s="4">
        <v>-13</v>
      </c>
      <c r="E115" s="152"/>
      <c r="F115" s="30" t="s">
        <v>40</v>
      </c>
      <c r="G115" s="21"/>
    </row>
    <row r="116" spans="2:10" x14ac:dyDescent="0.15">
      <c r="B116" s="30" t="s">
        <v>102</v>
      </c>
      <c r="C116" s="33"/>
      <c r="D116" s="4">
        <v>-30</v>
      </c>
      <c r="E116" s="152"/>
      <c r="F116" s="30" t="s">
        <v>103</v>
      </c>
      <c r="G116" s="21"/>
    </row>
    <row r="117" spans="2:10" x14ac:dyDescent="0.15">
      <c r="B117" s="30" t="s">
        <v>102</v>
      </c>
      <c r="C117" s="33"/>
      <c r="D117" s="4">
        <v>-600</v>
      </c>
      <c r="E117" s="152"/>
      <c r="F117" s="30" t="s">
        <v>111</v>
      </c>
      <c r="G117" s="21"/>
    </row>
    <row r="118" spans="2:10" x14ac:dyDescent="0.15">
      <c r="B118" s="30" t="s">
        <v>102</v>
      </c>
      <c r="C118" s="33"/>
      <c r="D118" s="4">
        <v>-2000</v>
      </c>
      <c r="E118" s="152"/>
      <c r="F118" s="30" t="s">
        <v>133</v>
      </c>
      <c r="G118" s="21"/>
      <c r="H118" s="50">
        <v>-41627.699999999997</v>
      </c>
    </row>
    <row r="119" spans="2:10" x14ac:dyDescent="0.15">
      <c r="B119" s="30" t="s">
        <v>102</v>
      </c>
      <c r="C119" s="33"/>
      <c r="D119" s="4">
        <v>0</v>
      </c>
      <c r="E119" s="152"/>
      <c r="F119" s="30" t="s">
        <v>130</v>
      </c>
      <c r="G119" s="21"/>
      <c r="H119" s="49">
        <f>SUM(D115:D119)</f>
        <v>-2643</v>
      </c>
      <c r="I119" s="2">
        <v>19303.240000000002</v>
      </c>
      <c r="J119" s="49">
        <f>I119+H119</f>
        <v>16660.240000000002</v>
      </c>
    </row>
    <row r="120" spans="2:10" x14ac:dyDescent="0.15">
      <c r="B120" s="30" t="s">
        <v>102</v>
      </c>
      <c r="C120" s="23">
        <v>-150</v>
      </c>
      <c r="D120" s="47"/>
      <c r="E120" s="18"/>
      <c r="F120" s="30" t="s">
        <v>131</v>
      </c>
      <c r="G120" s="41">
        <f>SUM(C115:C120)</f>
        <v>-560.89</v>
      </c>
      <c r="H120" s="1">
        <f>SUM(H118:H119)</f>
        <v>-44270.7</v>
      </c>
    </row>
    <row r="121" spans="2:10" x14ac:dyDescent="0.15">
      <c r="B121" s="21"/>
      <c r="C121" s="21"/>
      <c r="D121" s="42"/>
      <c r="E121" s="152"/>
      <c r="F121" s="21"/>
      <c r="G121" s="21"/>
    </row>
    <row r="122" spans="2:10" x14ac:dyDescent="0.15">
      <c r="B122" s="21"/>
      <c r="C122" s="21"/>
      <c r="D122" s="42"/>
      <c r="E122" s="152"/>
      <c r="F122" s="21"/>
      <c r="G122" s="21"/>
    </row>
    <row r="124" spans="2:10" x14ac:dyDescent="0.15">
      <c r="B124" s="69" t="s">
        <v>135</v>
      </c>
      <c r="C124" s="23"/>
      <c r="D124" s="4">
        <v>-260</v>
      </c>
      <c r="E124" s="152"/>
      <c r="F124" s="21" t="s">
        <v>136</v>
      </c>
      <c r="G124" s="21"/>
    </row>
    <row r="125" spans="2:10" x14ac:dyDescent="0.15">
      <c r="B125" s="30" t="s">
        <v>135</v>
      </c>
      <c r="C125" s="23">
        <v>-100</v>
      </c>
      <c r="E125" s="152"/>
      <c r="F125" s="21" t="s">
        <v>137</v>
      </c>
      <c r="G125" s="44">
        <v>-100</v>
      </c>
    </row>
    <row r="126" spans="2:10" x14ac:dyDescent="0.15">
      <c r="B126" s="21"/>
      <c r="C126" s="23"/>
      <c r="E126" s="152"/>
      <c r="F126" s="21"/>
      <c r="G126" s="21"/>
    </row>
    <row r="127" spans="2:10" x14ac:dyDescent="0.15">
      <c r="B127" s="70" t="s">
        <v>147</v>
      </c>
      <c r="C127" s="103">
        <v>-360000</v>
      </c>
      <c r="D127" s="104">
        <v>50000</v>
      </c>
      <c r="E127" s="153"/>
      <c r="F127" s="30" t="s">
        <v>146</v>
      </c>
      <c r="G127" s="21"/>
    </row>
    <row r="128" spans="2:10" x14ac:dyDescent="0.15">
      <c r="B128" s="21" t="s">
        <v>139</v>
      </c>
      <c r="D128" s="47">
        <v>-260</v>
      </c>
      <c r="E128" s="18"/>
      <c r="F128" s="21" t="s">
        <v>144</v>
      </c>
      <c r="G128" s="21"/>
    </row>
    <row r="129" spans="2:7" x14ac:dyDescent="0.15">
      <c r="B129" s="21" t="s">
        <v>140</v>
      </c>
      <c r="D129" s="47"/>
      <c r="E129" s="18"/>
      <c r="F129" s="21" t="s">
        <v>143</v>
      </c>
      <c r="G129" s="21"/>
    </row>
    <row r="130" spans="2:7" x14ac:dyDescent="0.15">
      <c r="B130" s="21"/>
      <c r="D130" s="47">
        <v>-60</v>
      </c>
      <c r="E130" s="18"/>
      <c r="F130" s="21" t="s">
        <v>145</v>
      </c>
      <c r="G130" s="44">
        <v>-320</v>
      </c>
    </row>
    <row r="131" spans="2:7" x14ac:dyDescent="0.15">
      <c r="B131" s="21"/>
      <c r="C131" s="33"/>
      <c r="E131" s="152"/>
      <c r="F131" s="21"/>
      <c r="G131" s="21"/>
    </row>
    <row r="132" spans="2:7" x14ac:dyDescent="0.15">
      <c r="B132" s="21" t="s">
        <v>141</v>
      </c>
      <c r="D132" s="47">
        <v>-5171.6000000000004</v>
      </c>
      <c r="E132" s="18"/>
      <c r="F132" s="21" t="s">
        <v>142</v>
      </c>
      <c r="G132" s="21">
        <f ca="1">G132</f>
        <v>0</v>
      </c>
    </row>
    <row r="133" spans="2:7" x14ac:dyDescent="0.15">
      <c r="B133" s="21"/>
      <c r="C133" s="33"/>
      <c r="E133" s="152"/>
      <c r="F133" s="21"/>
      <c r="G133" s="21"/>
    </row>
    <row r="134" spans="2:7" x14ac:dyDescent="0.15">
      <c r="B134" s="21"/>
      <c r="C134" s="33"/>
      <c r="E134" s="152"/>
      <c r="F134" s="21"/>
      <c r="G134" s="21"/>
    </row>
    <row r="135" spans="2:7" x14ac:dyDescent="0.15">
      <c r="B135" s="21"/>
      <c r="C135" s="33"/>
      <c r="E135" s="152"/>
      <c r="F135" s="21"/>
      <c r="G135" s="21"/>
    </row>
    <row r="136" spans="2:7" x14ac:dyDescent="0.15">
      <c r="B136" s="30" t="s">
        <v>160</v>
      </c>
      <c r="C136" s="33"/>
      <c r="D136" s="4">
        <v>0</v>
      </c>
      <c r="E136" s="152"/>
      <c r="F136" s="30" t="s">
        <v>163</v>
      </c>
      <c r="G136" s="21"/>
    </row>
    <row r="137" spans="2:7" x14ac:dyDescent="0.15">
      <c r="B137" s="21"/>
      <c r="C137" s="33"/>
      <c r="D137" s="4">
        <v>0</v>
      </c>
      <c r="E137" s="152"/>
      <c r="F137" s="30" t="s">
        <v>162</v>
      </c>
      <c r="G137" s="21"/>
    </row>
    <row r="138" spans="2:7" x14ac:dyDescent="0.15">
      <c r="B138" s="21"/>
      <c r="C138" s="33"/>
      <c r="E138" s="152"/>
      <c r="F138" s="21"/>
      <c r="G138" s="21"/>
    </row>
    <row r="139" spans="2:7" x14ac:dyDescent="0.15">
      <c r="B139" s="21"/>
      <c r="C139" s="33"/>
      <c r="E139" s="152"/>
      <c r="F139" s="30" t="s">
        <v>161</v>
      </c>
      <c r="G139" s="21"/>
    </row>
    <row r="140" spans="2:7" x14ac:dyDescent="0.15">
      <c r="B140" s="21"/>
      <c r="C140" s="33"/>
      <c r="D140" s="4">
        <v>-100</v>
      </c>
      <c r="E140" s="152"/>
      <c r="F140" s="30" t="s">
        <v>171</v>
      </c>
      <c r="G140" s="21"/>
    </row>
    <row r="141" spans="2:7" x14ac:dyDescent="0.15">
      <c r="B141" s="21"/>
      <c r="C141" s="33"/>
      <c r="E141" s="152"/>
      <c r="F141" s="21"/>
      <c r="G141" s="21"/>
    </row>
    <row r="142" spans="2:7" x14ac:dyDescent="0.15">
      <c r="B142" s="21"/>
      <c r="C142" s="21"/>
      <c r="D142" s="42"/>
      <c r="E142" s="42"/>
      <c r="F142" s="21"/>
      <c r="G142" s="21"/>
    </row>
    <row r="143" spans="2:7" x14ac:dyDescent="0.15">
      <c r="B143" s="30" t="s">
        <v>167</v>
      </c>
      <c r="C143" s="33"/>
      <c r="E143" s="152">
        <v>-34</v>
      </c>
      <c r="F143" s="30" t="s">
        <v>169</v>
      </c>
      <c r="G143" s="21"/>
    </row>
    <row r="144" spans="2:7" x14ac:dyDescent="0.15">
      <c r="B144" s="21"/>
      <c r="C144" s="33"/>
      <c r="D144" s="4">
        <v>-158</v>
      </c>
      <c r="E144" s="152"/>
      <c r="F144" s="30" t="s">
        <v>176</v>
      </c>
      <c r="G144" s="21"/>
    </row>
    <row r="145" spans="2:7" x14ac:dyDescent="0.15">
      <c r="B145" s="30" t="s">
        <v>175</v>
      </c>
      <c r="C145" s="109">
        <v>-109</v>
      </c>
      <c r="E145" s="152"/>
      <c r="F145" s="30" t="s">
        <v>174</v>
      </c>
      <c r="G145" s="21"/>
    </row>
    <row r="146" spans="2:7" x14ac:dyDescent="0.15">
      <c r="B146" s="21"/>
      <c r="C146" s="109">
        <v>-100</v>
      </c>
      <c r="E146" s="152"/>
      <c r="F146" s="30" t="s">
        <v>173</v>
      </c>
      <c r="G146" s="21"/>
    </row>
    <row r="147" spans="2:7" x14ac:dyDescent="0.15">
      <c r="B147" s="21"/>
      <c r="C147" s="109">
        <v>-100</v>
      </c>
      <c r="E147" s="152"/>
      <c r="F147" s="30" t="s">
        <v>172</v>
      </c>
      <c r="G147" s="21"/>
    </row>
    <row r="148" spans="2:7" x14ac:dyDescent="0.15">
      <c r="B148" s="30" t="s">
        <v>183</v>
      </c>
      <c r="C148" s="109">
        <v>-200</v>
      </c>
      <c r="E148" s="152"/>
      <c r="F148" s="30" t="s">
        <v>177</v>
      </c>
      <c r="G148" s="21"/>
    </row>
    <row r="149" spans="2:7" x14ac:dyDescent="0.15">
      <c r="B149" s="21"/>
      <c r="C149" s="109">
        <v>-40</v>
      </c>
      <c r="E149" s="152"/>
      <c r="F149" s="30" t="s">
        <v>178</v>
      </c>
      <c r="G149" s="21"/>
    </row>
    <row r="150" spans="2:7" x14ac:dyDescent="0.15">
      <c r="B150" s="21"/>
      <c r="C150" s="109">
        <v>-57.5</v>
      </c>
      <c r="E150" s="152"/>
      <c r="F150" s="30" t="s">
        <v>179</v>
      </c>
      <c r="G150" s="21"/>
    </row>
    <row r="151" spans="2:7" x14ac:dyDescent="0.15">
      <c r="B151" s="21"/>
      <c r="C151" s="109">
        <v>-66.099999999999994</v>
      </c>
      <c r="E151" s="152"/>
      <c r="F151" s="30" t="s">
        <v>179</v>
      </c>
      <c r="G151" s="21"/>
    </row>
    <row r="152" spans="2:7" x14ac:dyDescent="0.15">
      <c r="B152" s="21"/>
      <c r="C152" s="109">
        <v>-50</v>
      </c>
      <c r="E152" s="152"/>
      <c r="F152" s="30" t="s">
        <v>180</v>
      </c>
      <c r="G152" s="21"/>
    </row>
    <row r="153" spans="2:7" x14ac:dyDescent="0.15">
      <c r="B153" s="21"/>
      <c r="C153" s="109">
        <v>-127</v>
      </c>
      <c r="E153" s="152"/>
      <c r="F153" s="30" t="s">
        <v>179</v>
      </c>
      <c r="G153" s="21"/>
    </row>
    <row r="154" spans="2:7" x14ac:dyDescent="0.15">
      <c r="B154" s="30" t="s">
        <v>182</v>
      </c>
      <c r="C154" s="109">
        <v>-442.73</v>
      </c>
      <c r="E154" s="152"/>
      <c r="F154" s="30" t="s">
        <v>184</v>
      </c>
      <c r="G154" s="21"/>
    </row>
    <row r="155" spans="2:7" x14ac:dyDescent="0.15">
      <c r="B155" s="21"/>
      <c r="C155" s="109">
        <v>-674.25</v>
      </c>
      <c r="E155" s="152"/>
      <c r="F155" s="30" t="s">
        <v>184</v>
      </c>
      <c r="G155" s="21"/>
    </row>
    <row r="156" spans="2:7" x14ac:dyDescent="0.15">
      <c r="B156" s="21"/>
      <c r="C156" s="109">
        <v>-14.73</v>
      </c>
      <c r="E156" s="152"/>
      <c r="F156" s="30" t="s">
        <v>181</v>
      </c>
      <c r="G156" s="21"/>
    </row>
    <row r="157" spans="2:7" x14ac:dyDescent="0.15">
      <c r="B157" s="21"/>
      <c r="C157" s="33"/>
      <c r="E157" s="152"/>
      <c r="F157" s="154"/>
      <c r="G157" s="155">
        <f>SUM(E143:E156)</f>
        <v>-34</v>
      </c>
    </row>
    <row r="158" spans="2:7" x14ac:dyDescent="0.15">
      <c r="B158" s="21"/>
      <c r="C158" s="33"/>
      <c r="E158" s="152"/>
      <c r="F158" s="154"/>
      <c r="G158" s="156">
        <f>SUM(D143:D156)</f>
        <v>-158</v>
      </c>
    </row>
    <row r="159" spans="2:7" x14ac:dyDescent="0.15">
      <c r="B159" s="21"/>
      <c r="C159" s="33"/>
      <c r="E159" s="152"/>
      <c r="F159" s="108"/>
      <c r="G159" s="109">
        <f>SUM(C143:C157)</f>
        <v>-1981.31</v>
      </c>
    </row>
    <row r="160" spans="2:7" x14ac:dyDescent="0.15">
      <c r="B160" s="21"/>
      <c r="C160" s="33"/>
      <c r="E160" s="152"/>
      <c r="F160" s="108"/>
      <c r="G160" s="109"/>
    </row>
    <row r="161" spans="2:7" x14ac:dyDescent="0.15">
      <c r="B161" s="30" t="s">
        <v>186</v>
      </c>
      <c r="C161" s="33">
        <v>-2642.05</v>
      </c>
      <c r="E161" s="152"/>
      <c r="F161" s="30" t="s">
        <v>185</v>
      </c>
      <c r="G161" s="21"/>
    </row>
    <row r="162" spans="2:7" x14ac:dyDescent="0.15">
      <c r="B162" s="21"/>
      <c r="C162" s="33">
        <v>-20</v>
      </c>
      <c r="E162" s="152"/>
      <c r="F162" s="30" t="s">
        <v>188</v>
      </c>
      <c r="G162" s="21"/>
    </row>
    <row r="163" spans="2:7" x14ac:dyDescent="0.15">
      <c r="B163" s="21"/>
      <c r="C163" s="33">
        <v>-16</v>
      </c>
      <c r="E163" s="152"/>
      <c r="F163" s="30" t="s">
        <v>181</v>
      </c>
      <c r="G163" s="21"/>
    </row>
    <row r="164" spans="2:7" x14ac:dyDescent="0.15">
      <c r="B164" s="21"/>
      <c r="C164" s="33">
        <v>-40</v>
      </c>
      <c r="E164" s="152"/>
      <c r="F164" s="30" t="s">
        <v>187</v>
      </c>
      <c r="G164" s="21"/>
    </row>
    <row r="165" spans="2:7" x14ac:dyDescent="0.15">
      <c r="B165" s="21"/>
      <c r="C165" s="33">
        <v>-40</v>
      </c>
      <c r="E165" s="152"/>
      <c r="F165" s="30" t="s">
        <v>189</v>
      </c>
      <c r="G165" s="21"/>
    </row>
    <row r="166" spans="2:7" x14ac:dyDescent="0.15">
      <c r="B166" s="21"/>
      <c r="C166" s="33">
        <v>-44</v>
      </c>
      <c r="E166" s="152"/>
      <c r="F166" s="30" t="s">
        <v>187</v>
      </c>
      <c r="G166" s="21"/>
    </row>
    <row r="167" spans="2:7" x14ac:dyDescent="0.15">
      <c r="B167" s="21"/>
      <c r="C167" s="33">
        <v>-40</v>
      </c>
      <c r="E167" s="152"/>
      <c r="F167" s="30" t="s">
        <v>184</v>
      </c>
      <c r="G167" s="21"/>
    </row>
    <row r="168" spans="2:7" x14ac:dyDescent="0.15">
      <c r="B168" s="21"/>
      <c r="C168" s="33">
        <v>-16.190000000000001</v>
      </c>
      <c r="E168" s="152"/>
      <c r="F168" s="30" t="s">
        <v>181</v>
      </c>
      <c r="G168" s="21"/>
    </row>
    <row r="169" spans="2:7" x14ac:dyDescent="0.15">
      <c r="B169" s="21"/>
      <c r="C169" s="33">
        <v>-13</v>
      </c>
      <c r="E169" s="152"/>
      <c r="F169" s="30" t="s">
        <v>190</v>
      </c>
      <c r="G169" s="21"/>
    </row>
    <row r="170" spans="2:7" x14ac:dyDescent="0.15">
      <c r="B170" s="21"/>
      <c r="C170" s="33">
        <v>-63</v>
      </c>
      <c r="E170" s="152"/>
      <c r="F170" s="30" t="s">
        <v>179</v>
      </c>
      <c r="G170" s="21"/>
    </row>
    <row r="171" spans="2:7" x14ac:dyDescent="0.15">
      <c r="C171" s="3">
        <v>-110.6</v>
      </c>
      <c r="E171" s="152"/>
      <c r="F171" s="70" t="s">
        <v>179</v>
      </c>
    </row>
    <row r="172" spans="2:7" x14ac:dyDescent="0.15">
      <c r="B172" s="2" t="s">
        <v>191</v>
      </c>
      <c r="C172" s="3">
        <v>-476.83</v>
      </c>
      <c r="E172" s="152"/>
      <c r="F172" s="158" t="s">
        <v>192</v>
      </c>
      <c r="G172" s="95">
        <f>SUM(C161:C172)</f>
        <v>-3521.67</v>
      </c>
    </row>
    <row r="173" spans="2:7" x14ac:dyDescent="0.15">
      <c r="C173" s="3">
        <v>-138</v>
      </c>
      <c r="E173" s="152"/>
      <c r="F173" s="158" t="s">
        <v>184</v>
      </c>
    </row>
    <row r="174" spans="2:7" x14ac:dyDescent="0.15">
      <c r="C174" s="3">
        <v>-110.6</v>
      </c>
      <c r="E174" s="152"/>
      <c r="F174" s="158" t="s">
        <v>179</v>
      </c>
    </row>
    <row r="175" spans="2:7" x14ac:dyDescent="0.15">
      <c r="B175" s="2" t="s">
        <v>193</v>
      </c>
      <c r="C175" s="3">
        <v>-10</v>
      </c>
      <c r="E175" s="152"/>
      <c r="F175" s="158" t="s">
        <v>179</v>
      </c>
    </row>
    <row r="176" spans="2:7" x14ac:dyDescent="0.15">
      <c r="B176" s="2" t="s">
        <v>194</v>
      </c>
      <c r="C176" s="3">
        <v>-123.3</v>
      </c>
      <c r="E176" s="152"/>
      <c r="F176" s="158" t="s">
        <v>179</v>
      </c>
    </row>
    <row r="177" spans="2:7" x14ac:dyDescent="0.15">
      <c r="C177" s="3">
        <v>-10.5</v>
      </c>
      <c r="E177" s="152"/>
      <c r="F177" s="158" t="s">
        <v>179</v>
      </c>
    </row>
    <row r="178" spans="2:7" x14ac:dyDescent="0.15">
      <c r="B178" s="2" t="s">
        <v>195</v>
      </c>
      <c r="C178" s="3">
        <v>-25</v>
      </c>
      <c r="E178" s="152"/>
    </row>
    <row r="179" spans="2:7" x14ac:dyDescent="0.15">
      <c r="C179" s="3">
        <v>-8</v>
      </c>
      <c r="E179" s="152"/>
    </row>
    <row r="180" spans="2:7" x14ac:dyDescent="0.15">
      <c r="B180" s="2" t="s">
        <v>196</v>
      </c>
      <c r="C180" s="3">
        <v>-60</v>
      </c>
      <c r="E180" s="152"/>
      <c r="F180" s="158" t="s">
        <v>184</v>
      </c>
    </row>
    <row r="181" spans="2:7" x14ac:dyDescent="0.15">
      <c r="C181" s="3">
        <v>-65</v>
      </c>
      <c r="E181" s="152"/>
    </row>
    <row r="182" spans="2:7" x14ac:dyDescent="0.15">
      <c r="C182" s="3">
        <v>-27</v>
      </c>
      <c r="E182" s="152"/>
    </row>
    <row r="183" spans="2:7" x14ac:dyDescent="0.15">
      <c r="C183" s="3">
        <v>-100</v>
      </c>
      <c r="E183" s="152"/>
      <c r="F183" s="2" t="s">
        <v>197</v>
      </c>
    </row>
    <row r="184" spans="2:7" x14ac:dyDescent="0.15">
      <c r="B184" s="2" t="s">
        <v>198</v>
      </c>
      <c r="C184" s="3">
        <v>-123.1</v>
      </c>
      <c r="E184" s="152"/>
      <c r="F184" s="158" t="s">
        <v>179</v>
      </c>
    </row>
    <row r="185" spans="2:7" x14ac:dyDescent="0.15">
      <c r="C185" s="3">
        <v>-22.5</v>
      </c>
      <c r="E185" s="152"/>
      <c r="F185" s="158" t="s">
        <v>179</v>
      </c>
    </row>
    <row r="186" spans="2:7" x14ac:dyDescent="0.15">
      <c r="C186" s="3">
        <v>-27.8</v>
      </c>
      <c r="E186" s="152"/>
      <c r="F186" s="159" t="s">
        <v>199</v>
      </c>
    </row>
    <row r="187" spans="2:7" x14ac:dyDescent="0.15">
      <c r="B187" s="2" t="s">
        <v>200</v>
      </c>
      <c r="C187" s="3">
        <v>-12.1</v>
      </c>
      <c r="E187" s="152"/>
    </row>
    <row r="188" spans="2:7" x14ac:dyDescent="0.15">
      <c r="B188" s="2" t="s">
        <v>200</v>
      </c>
      <c r="C188" s="3">
        <v>-182.4</v>
      </c>
      <c r="E188" s="152"/>
      <c r="F188" s="158" t="s">
        <v>179</v>
      </c>
    </row>
    <row r="189" spans="2:7" x14ac:dyDescent="0.15">
      <c r="B189" s="2" t="s">
        <v>201</v>
      </c>
      <c r="C189" s="3">
        <v>-144.4</v>
      </c>
      <c r="E189" s="152"/>
      <c r="F189" s="158" t="s">
        <v>179</v>
      </c>
      <c r="G189">
        <f>SUM(C161:C189)</f>
        <v>-4711.37</v>
      </c>
    </row>
    <row r="190" spans="2:7" s="161" customFormat="1" x14ac:dyDescent="0.15">
      <c r="B190" s="162"/>
      <c r="C190" s="163"/>
      <c r="D190" s="42"/>
      <c r="E190" s="42"/>
      <c r="F190" s="159"/>
    </row>
    <row r="191" spans="2:7" s="161" customFormat="1" x14ac:dyDescent="0.15">
      <c r="B191" s="162"/>
      <c r="C191" s="163"/>
      <c r="D191" s="42"/>
      <c r="E191" s="42"/>
      <c r="F191" s="159"/>
    </row>
    <row r="192" spans="2:7" x14ac:dyDescent="0.15">
      <c r="B192" s="160" t="s">
        <v>202</v>
      </c>
      <c r="C192" s="3">
        <v>-707</v>
      </c>
      <c r="E192" s="152"/>
      <c r="F192" s="158" t="s">
        <v>184</v>
      </c>
    </row>
    <row r="193" spans="2:6" x14ac:dyDescent="0.15">
      <c r="C193" s="3">
        <v>680.37</v>
      </c>
      <c r="E193" s="152"/>
      <c r="F193" s="158" t="s">
        <v>184</v>
      </c>
    </row>
    <row r="194" spans="2:6" x14ac:dyDescent="0.15">
      <c r="C194" s="3">
        <v>-1.1000000000000001</v>
      </c>
      <c r="E194" s="152"/>
      <c r="F194" s="158" t="s">
        <v>184</v>
      </c>
    </row>
    <row r="195" spans="2:6" x14ac:dyDescent="0.15">
      <c r="C195" s="3">
        <v>-50</v>
      </c>
      <c r="E195" s="152"/>
      <c r="F195" s="159" t="s">
        <v>203</v>
      </c>
    </row>
    <row r="196" spans="2:6" x14ac:dyDescent="0.15">
      <c r="B196" s="2" t="s">
        <v>205</v>
      </c>
      <c r="C196" s="3">
        <v>-129.69999999999999</v>
      </c>
      <c r="E196" s="152"/>
      <c r="F196" s="158" t="s">
        <v>179</v>
      </c>
    </row>
    <row r="197" spans="2:6" x14ac:dyDescent="0.15">
      <c r="E197" s="152"/>
    </row>
    <row r="198" spans="2:6" x14ac:dyDescent="0.15">
      <c r="E198" s="152"/>
    </row>
    <row r="199" spans="2:6" x14ac:dyDescent="0.15">
      <c r="E199" s="152"/>
    </row>
    <row r="200" spans="2:6" x14ac:dyDescent="0.15">
      <c r="E200" s="152"/>
    </row>
    <row r="201" spans="2:6" x14ac:dyDescent="0.15">
      <c r="E201" s="152"/>
    </row>
    <row r="202" spans="2:6" x14ac:dyDescent="0.15">
      <c r="E202" s="152"/>
    </row>
    <row r="203" spans="2:6" x14ac:dyDescent="0.15">
      <c r="E203" s="152"/>
    </row>
    <row r="204" spans="2:6" x14ac:dyDescent="0.15">
      <c r="E204" s="152"/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E6AC8-509B-A643-BB19-E41D6E7661ED}">
  <dimension ref="A1:AF39"/>
  <sheetViews>
    <sheetView tabSelected="1" zoomScale="125" zoomScaleNormal="128" workbookViewId="0">
      <selection activeCell="K12" sqref="K12"/>
    </sheetView>
  </sheetViews>
  <sheetFormatPr baseColWidth="10" defaultRowHeight="13" x14ac:dyDescent="0.15"/>
  <cols>
    <col min="1" max="1" width="10.1640625" customWidth="1"/>
    <col min="2" max="2" width="10.33203125" style="125" customWidth="1"/>
    <col min="3" max="3" width="10" style="142" customWidth="1"/>
    <col min="4" max="4" width="9.83203125" style="125" customWidth="1"/>
    <col min="5" max="5" width="1" style="119" customWidth="1"/>
    <col min="6" max="6" width="14.33203125" style="39" customWidth="1"/>
    <col min="7" max="7" width="14.83203125" style="87" customWidth="1"/>
    <col min="8" max="8" width="10.6640625" style="39" customWidth="1"/>
    <col min="9" max="9" width="0.6640625" style="77" customWidth="1"/>
    <col min="10" max="10" width="13.1640625" style="95" customWidth="1"/>
    <col min="11" max="11" width="18.1640625" style="92" customWidth="1"/>
    <col min="12" max="12" width="13" style="40" customWidth="1"/>
    <col min="13" max="13" width="0.5" style="82" customWidth="1"/>
    <col min="14" max="14" width="12.6640625" style="58" customWidth="1"/>
    <col min="15" max="15" width="13.33203125" customWidth="1"/>
    <col min="16" max="16" width="13" customWidth="1"/>
    <col min="17" max="19" width="11" bestFit="1" customWidth="1"/>
    <col min="20" max="20" width="12.83203125" bestFit="1" customWidth="1"/>
    <col min="21" max="21" width="15.1640625" customWidth="1"/>
    <col min="22" max="22" width="13.1640625" bestFit="1" customWidth="1"/>
    <col min="23" max="23" width="13.33203125" customWidth="1"/>
    <col min="24" max="24" width="2.5" style="146" customWidth="1"/>
    <col min="25" max="25" width="12.83203125" bestFit="1" customWidth="1"/>
  </cols>
  <sheetData>
    <row r="1" spans="1:32" s="37" customFormat="1" ht="30" customHeight="1" x14ac:dyDescent="0.15">
      <c r="A1" s="62" t="s">
        <v>85</v>
      </c>
      <c r="B1" s="120" t="s">
        <v>165</v>
      </c>
      <c r="C1" s="138" t="s">
        <v>166</v>
      </c>
      <c r="D1" s="120" t="s">
        <v>164</v>
      </c>
      <c r="E1" s="113"/>
      <c r="F1" s="83" t="s">
        <v>150</v>
      </c>
      <c r="G1" s="86" t="s">
        <v>154</v>
      </c>
      <c r="H1" s="83" t="s">
        <v>149</v>
      </c>
      <c r="I1" s="71"/>
      <c r="J1" s="93" t="s">
        <v>152</v>
      </c>
      <c r="K1" s="88" t="s">
        <v>153</v>
      </c>
      <c r="L1" s="96" t="s">
        <v>151</v>
      </c>
      <c r="M1" s="78"/>
      <c r="N1" s="100"/>
      <c r="O1" s="35" t="s">
        <v>45</v>
      </c>
      <c r="P1" s="35" t="s">
        <v>44</v>
      </c>
      <c r="Q1" s="36" t="s">
        <v>41</v>
      </c>
      <c r="R1" s="36" t="s">
        <v>42</v>
      </c>
      <c r="S1" s="36" t="s">
        <v>43</v>
      </c>
      <c r="T1" s="35" t="s">
        <v>76</v>
      </c>
      <c r="U1" s="35" t="s">
        <v>75</v>
      </c>
      <c r="V1" s="35" t="s">
        <v>77</v>
      </c>
      <c r="W1" s="35" t="s">
        <v>78</v>
      </c>
      <c r="X1" s="144" t="s">
        <v>116</v>
      </c>
      <c r="Y1" s="37" t="s">
        <v>138</v>
      </c>
      <c r="AB1" s="37" t="s">
        <v>155</v>
      </c>
      <c r="AC1" s="37" t="s">
        <v>156</v>
      </c>
      <c r="AD1" s="37" t="s">
        <v>158</v>
      </c>
      <c r="AE1" s="37" t="s">
        <v>159</v>
      </c>
      <c r="AF1" s="37" t="s">
        <v>157</v>
      </c>
    </row>
    <row r="2" spans="1:32" s="37" customFormat="1" ht="30" customHeight="1" x14ac:dyDescent="0.15">
      <c r="A2" s="63" t="s">
        <v>115</v>
      </c>
      <c r="B2" s="121"/>
      <c r="C2" s="143">
        <v>0</v>
      </c>
      <c r="D2" s="121"/>
      <c r="E2" s="114"/>
      <c r="F2" s="84"/>
      <c r="G2" s="128">
        <v>6782.74</v>
      </c>
      <c r="H2" s="133"/>
      <c r="I2" s="72"/>
      <c r="J2" s="94"/>
      <c r="K2" s="89">
        <v>3275177.25</v>
      </c>
      <c r="L2" s="97"/>
      <c r="M2" s="79"/>
      <c r="N2" s="101"/>
      <c r="O2" s="35"/>
      <c r="P2" s="35"/>
      <c r="Q2" s="36"/>
      <c r="R2" s="36"/>
      <c r="S2" s="36"/>
      <c r="T2" s="35"/>
      <c r="U2" s="35"/>
      <c r="V2" s="35"/>
      <c r="W2" s="35"/>
      <c r="X2" s="144"/>
    </row>
    <row r="3" spans="1:32" x14ac:dyDescent="0.15">
      <c r="A3" s="64" t="s">
        <v>84</v>
      </c>
      <c r="B3" s="122"/>
      <c r="C3" s="139"/>
      <c r="D3" s="122"/>
      <c r="E3" s="115"/>
      <c r="F3" s="85"/>
      <c r="G3" s="129">
        <v>56782.74</v>
      </c>
      <c r="H3" s="134">
        <v>50000</v>
      </c>
      <c r="I3" s="73"/>
      <c r="J3" s="102">
        <v>-343993.12</v>
      </c>
      <c r="K3" s="90">
        <f>K2+J3</f>
        <v>2931184.13</v>
      </c>
      <c r="L3" s="98"/>
      <c r="M3" s="80"/>
      <c r="N3" s="61"/>
      <c r="O3" s="22">
        <v>1854075.44</v>
      </c>
      <c r="P3" s="22">
        <v>133463.75</v>
      </c>
      <c r="Q3" s="22">
        <v>1478.72</v>
      </c>
      <c r="R3" s="22">
        <v>183.87</v>
      </c>
      <c r="S3" s="22">
        <v>0.37</v>
      </c>
      <c r="T3" s="22">
        <v>614654.69999999995</v>
      </c>
      <c r="U3" s="22">
        <v>59544.5</v>
      </c>
      <c r="V3" s="22">
        <v>235000</v>
      </c>
      <c r="W3" s="22">
        <v>1000</v>
      </c>
      <c r="X3" s="145">
        <v>-17119.330000000002</v>
      </c>
      <c r="Y3" s="51">
        <f>SUM(O3:X3)</f>
        <v>2882282.02</v>
      </c>
    </row>
    <row r="4" spans="1:32" x14ac:dyDescent="0.15">
      <c r="A4" s="64" t="s">
        <v>84</v>
      </c>
      <c r="B4" s="122"/>
      <c r="C4" s="139"/>
      <c r="D4" s="122"/>
      <c r="E4" s="115"/>
      <c r="F4" s="85">
        <f>-15424.04</f>
        <v>-15424.04</v>
      </c>
      <c r="G4" s="129">
        <v>42220.7</v>
      </c>
      <c r="H4" s="134"/>
      <c r="I4" s="73"/>
      <c r="J4" s="102">
        <v>-48900.11</v>
      </c>
      <c r="K4" s="90">
        <f>K3+J4</f>
        <v>2882284.02</v>
      </c>
      <c r="L4" s="98"/>
      <c r="M4" s="80"/>
      <c r="N4" s="61"/>
      <c r="O4" s="22">
        <v>1854075.44</v>
      </c>
      <c r="P4" s="22">
        <v>133463.75</v>
      </c>
      <c r="Q4" s="22">
        <v>1478.72</v>
      </c>
      <c r="R4" s="22">
        <v>183.87</v>
      </c>
      <c r="S4" s="22">
        <v>0.37</v>
      </c>
      <c r="T4" s="22">
        <v>614654.69999999995</v>
      </c>
      <c r="U4" s="22">
        <v>59544.5</v>
      </c>
      <c r="V4" s="22">
        <v>235000</v>
      </c>
      <c r="W4" s="22">
        <v>1000</v>
      </c>
      <c r="X4" s="145">
        <v>-17119.330000000002</v>
      </c>
      <c r="Y4" s="51">
        <f>SUM(O4:X4)</f>
        <v>2882282.02</v>
      </c>
    </row>
    <row r="5" spans="1:32" x14ac:dyDescent="0.15">
      <c r="A5" s="65" t="s">
        <v>98</v>
      </c>
      <c r="B5" s="123"/>
      <c r="C5" s="140"/>
      <c r="D5" s="123"/>
      <c r="E5" s="116"/>
      <c r="F5" s="111">
        <v>-2643</v>
      </c>
      <c r="G5" s="129">
        <v>41977.7</v>
      </c>
      <c r="H5" s="135"/>
      <c r="I5" s="74"/>
      <c r="J5" s="23">
        <v>-560.89</v>
      </c>
      <c r="K5" s="90">
        <f>K4+J5+L5</f>
        <v>2897874.5999999996</v>
      </c>
      <c r="L5" s="99">
        <f>O5-O4</f>
        <v>16151.469999999972</v>
      </c>
      <c r="M5" s="81"/>
      <c r="N5" s="68"/>
      <c r="O5" s="48">
        <v>1870226.91</v>
      </c>
      <c r="P5" s="22">
        <v>133463.75</v>
      </c>
      <c r="Q5" s="22">
        <v>1478.72</v>
      </c>
      <c r="R5" s="22">
        <v>183.87</v>
      </c>
      <c r="S5" s="22">
        <v>0.37</v>
      </c>
      <c r="T5" s="22">
        <v>614654.69999999995</v>
      </c>
      <c r="U5" s="22">
        <v>59544.5</v>
      </c>
      <c r="V5" s="22">
        <v>235000</v>
      </c>
      <c r="W5" s="22">
        <v>1000</v>
      </c>
      <c r="X5" s="145">
        <v>-17119.330000000002</v>
      </c>
      <c r="Y5" s="51">
        <f>SUM(O5:X5)</f>
        <v>2898433.49</v>
      </c>
    </row>
    <row r="6" spans="1:32" x14ac:dyDescent="0.15">
      <c r="A6" s="65" t="s">
        <v>117</v>
      </c>
      <c r="B6" s="17"/>
      <c r="C6" s="126"/>
      <c r="D6" s="17"/>
      <c r="E6" s="117"/>
      <c r="F6" s="4">
        <v>-260</v>
      </c>
      <c r="G6" s="130">
        <v>41717.699999999997</v>
      </c>
      <c r="H6" s="112"/>
      <c r="I6" s="75"/>
      <c r="J6" s="23">
        <v>-100</v>
      </c>
      <c r="K6" s="90">
        <v>2905665.28</v>
      </c>
      <c r="L6" s="98">
        <v>7228.84</v>
      </c>
      <c r="M6" s="80"/>
      <c r="N6" s="61"/>
      <c r="O6" s="22">
        <v>1876535.91</v>
      </c>
      <c r="P6" s="22">
        <v>133646.23000000001</v>
      </c>
      <c r="Q6" s="22">
        <v>1478.72</v>
      </c>
      <c r="R6" s="22">
        <v>183.87</v>
      </c>
      <c r="S6" s="22">
        <v>0.37</v>
      </c>
      <c r="T6" s="22">
        <v>615395.01</v>
      </c>
      <c r="U6" s="22">
        <v>59544.5</v>
      </c>
      <c r="V6" s="22">
        <v>235000</v>
      </c>
      <c r="W6" s="22">
        <v>1000</v>
      </c>
      <c r="X6" s="145">
        <v>-17119.330000000002</v>
      </c>
      <c r="Y6" s="51">
        <f>SUM(O6:X6)</f>
        <v>2905665.2800000003</v>
      </c>
    </row>
    <row r="7" spans="1:32" x14ac:dyDescent="0.15">
      <c r="A7" s="65" t="s">
        <v>118</v>
      </c>
      <c r="B7" s="17"/>
      <c r="C7" s="126"/>
      <c r="D7" s="17"/>
      <c r="E7" s="117"/>
      <c r="F7" s="4">
        <v>-320</v>
      </c>
      <c r="G7" s="129">
        <f>G6+F7+H7</f>
        <v>91397.7</v>
      </c>
      <c r="H7" s="134">
        <v>50000</v>
      </c>
      <c r="I7" s="75"/>
      <c r="J7" s="102">
        <v>-360000</v>
      </c>
      <c r="K7" s="90">
        <f>K6+J7+L7</f>
        <v>2552894.1199999996</v>
      </c>
      <c r="L7" s="98">
        <v>7228.84</v>
      </c>
      <c r="M7" s="80"/>
      <c r="N7" s="61"/>
      <c r="O7" s="22">
        <v>1883644.03</v>
      </c>
      <c r="P7" s="22">
        <v>133646.23000000001</v>
      </c>
      <c r="Q7" s="22">
        <v>1478.72</v>
      </c>
      <c r="R7" s="22">
        <v>183.87</v>
      </c>
      <c r="S7" s="22">
        <v>0.37</v>
      </c>
      <c r="T7" s="22">
        <v>615395.01</v>
      </c>
      <c r="U7" s="22">
        <v>59544.5</v>
      </c>
      <c r="V7" s="21">
        <v>0</v>
      </c>
      <c r="W7" s="22">
        <v>1000</v>
      </c>
      <c r="X7" s="145">
        <f>X6-125000</f>
        <v>-142119.33000000002</v>
      </c>
      <c r="Y7" s="51">
        <f>Y6-360000</f>
        <v>2545665.2800000003</v>
      </c>
      <c r="Z7" s="2" t="s">
        <v>148</v>
      </c>
    </row>
    <row r="8" spans="1:32" x14ac:dyDescent="0.15">
      <c r="A8" s="65" t="s">
        <v>119</v>
      </c>
      <c r="B8" s="17"/>
      <c r="C8" s="126"/>
      <c r="D8" s="17"/>
      <c r="E8" s="117"/>
      <c r="F8" s="4">
        <v>-5171.6000000000004</v>
      </c>
      <c r="G8" s="130">
        <f>G7+F8</f>
        <v>86226.099999999991</v>
      </c>
      <c r="H8" s="112">
        <v>0</v>
      </c>
      <c r="I8" s="75"/>
      <c r="J8" s="109">
        <v>-100</v>
      </c>
      <c r="K8" s="90">
        <f>K7+L8+J8</f>
        <v>2560022.9599999995</v>
      </c>
      <c r="L8" s="98">
        <v>7228.84</v>
      </c>
      <c r="M8" s="80"/>
      <c r="N8" s="61"/>
      <c r="O8" s="22">
        <v>1891712.71</v>
      </c>
      <c r="P8" s="22">
        <v>133646.23000000001</v>
      </c>
      <c r="Q8" s="22">
        <v>1478.72</v>
      </c>
      <c r="R8" s="22">
        <v>183.87</v>
      </c>
      <c r="S8" s="22">
        <v>0.37</v>
      </c>
      <c r="T8" s="22">
        <v>615395.01</v>
      </c>
      <c r="U8" s="22">
        <v>59544.5</v>
      </c>
      <c r="V8" s="21">
        <v>0</v>
      </c>
      <c r="W8" s="22">
        <v>1000</v>
      </c>
      <c r="X8" s="145">
        <v>-142119.32999999999</v>
      </c>
      <c r="Y8" s="51">
        <f>SUM(O8:X8)</f>
        <v>2560842.08</v>
      </c>
      <c r="AB8" s="1">
        <v>79270.009999999995</v>
      </c>
      <c r="AC8" s="1">
        <v>9114</v>
      </c>
      <c r="AD8" s="1">
        <v>0</v>
      </c>
      <c r="AE8" s="1">
        <v>-600</v>
      </c>
      <c r="AF8" s="1">
        <f>SUM(AB8:AE8)</f>
        <v>87784.01</v>
      </c>
    </row>
    <row r="9" spans="1:32" x14ac:dyDescent="0.15">
      <c r="A9" s="65" t="s">
        <v>120</v>
      </c>
      <c r="B9" s="17"/>
      <c r="C9" s="126"/>
      <c r="D9" s="17"/>
      <c r="E9" s="117"/>
      <c r="F9" s="112">
        <v>-100</v>
      </c>
      <c r="G9" s="130">
        <f>G8+F9</f>
        <v>86126.099999999991</v>
      </c>
      <c r="H9" s="112"/>
      <c r="I9" s="75"/>
      <c r="J9" s="109">
        <v>-100</v>
      </c>
      <c r="K9" s="90">
        <f>K8+L9+J9</f>
        <v>2567151.7999999993</v>
      </c>
      <c r="L9" s="98">
        <v>7228.84</v>
      </c>
      <c r="M9" s="80"/>
      <c r="N9" s="61"/>
      <c r="O9" s="106">
        <v>1881712.71</v>
      </c>
      <c r="P9" s="107">
        <v>149105.29</v>
      </c>
      <c r="Q9" s="105">
        <v>1478.72</v>
      </c>
      <c r="R9" s="21">
        <v>183.87</v>
      </c>
      <c r="S9" s="21">
        <v>0.37</v>
      </c>
      <c r="T9" s="106">
        <v>610395.01</v>
      </c>
      <c r="U9" s="108">
        <v>59544.5</v>
      </c>
      <c r="V9" s="21">
        <v>0</v>
      </c>
      <c r="W9" s="105">
        <v>1000</v>
      </c>
      <c r="X9" s="145">
        <v>-142119.32999999999</v>
      </c>
      <c r="Y9" s="51">
        <f>SUM(O9:X9)</f>
        <v>2561301.14</v>
      </c>
    </row>
    <row r="10" spans="1:32" x14ac:dyDescent="0.15">
      <c r="A10" s="65" t="s">
        <v>120</v>
      </c>
      <c r="B10" s="127">
        <v>-1526.23</v>
      </c>
      <c r="C10" s="126">
        <f>D10+B10</f>
        <v>4473.7700000000004</v>
      </c>
      <c r="D10" s="126">
        <v>6000</v>
      </c>
      <c r="E10" s="117"/>
      <c r="F10" s="38"/>
      <c r="G10" s="130"/>
      <c r="H10" s="112"/>
      <c r="I10" s="75"/>
      <c r="J10" s="109">
        <v>-28418.400000000001</v>
      </c>
      <c r="K10" s="90">
        <f>K9+J10+L9</f>
        <v>2545962.2399999993</v>
      </c>
      <c r="L10" s="98">
        <v>7228.84</v>
      </c>
      <c r="M10" s="80"/>
      <c r="N10" s="61"/>
      <c r="O10" s="21"/>
      <c r="P10" s="21"/>
      <c r="Q10" s="21"/>
      <c r="R10" s="21"/>
      <c r="S10" s="21"/>
      <c r="T10" s="21"/>
      <c r="U10" s="21"/>
      <c r="V10" s="21"/>
      <c r="W10" s="21"/>
    </row>
    <row r="11" spans="1:32" x14ac:dyDescent="0.15">
      <c r="A11" s="65" t="s">
        <v>170</v>
      </c>
      <c r="B11" s="127">
        <v>-34</v>
      </c>
      <c r="C11" s="126">
        <f>C10+B11</f>
        <v>4439.7700000000004</v>
      </c>
      <c r="D11" s="17"/>
      <c r="E11" s="117"/>
      <c r="F11" s="157">
        <v>-158</v>
      </c>
      <c r="G11" s="130">
        <f>G9+F11</f>
        <v>85968.099999999991</v>
      </c>
      <c r="H11" s="112"/>
      <c r="I11" s="75"/>
      <c r="J11" s="109">
        <v>-1981.31</v>
      </c>
      <c r="K11" s="90">
        <f>K10+L11+J11</f>
        <v>2551209.7699999991</v>
      </c>
      <c r="L11" s="98">
        <v>7228.84</v>
      </c>
      <c r="M11" s="80"/>
      <c r="N11" s="61"/>
      <c r="O11" s="21"/>
      <c r="P11" s="21"/>
      <c r="Q11" s="21"/>
      <c r="R11" s="21"/>
      <c r="S11" s="21"/>
      <c r="T11" s="21"/>
      <c r="U11" s="21"/>
      <c r="V11" s="21"/>
      <c r="W11" s="21"/>
    </row>
    <row r="12" spans="1:32" ht="14" thickBot="1" x14ac:dyDescent="0.2">
      <c r="A12" s="66" t="s">
        <v>204</v>
      </c>
      <c r="B12" s="124"/>
      <c r="C12" s="141">
        <v>4439.7700000000004</v>
      </c>
      <c r="D12" s="124"/>
      <c r="E12" s="118"/>
      <c r="F12" s="67"/>
      <c r="G12" s="131">
        <v>85968.1</v>
      </c>
      <c r="H12" s="136"/>
      <c r="I12" s="76"/>
      <c r="J12" s="165">
        <v>-4711.37</v>
      </c>
      <c r="K12" s="91">
        <f>K11+J12+L12</f>
        <v>2553727.2399999988</v>
      </c>
      <c r="L12" s="98">
        <v>7228.84</v>
      </c>
      <c r="M12" s="80"/>
      <c r="N12" s="61"/>
      <c r="O12" s="106">
        <v>1817118.52</v>
      </c>
      <c r="P12" s="107">
        <v>201965.07</v>
      </c>
      <c r="Q12" s="105">
        <v>1478.72</v>
      </c>
      <c r="R12" s="21">
        <v>183.87</v>
      </c>
      <c r="S12" s="21">
        <v>0.37</v>
      </c>
      <c r="T12" s="106">
        <v>531981</v>
      </c>
      <c r="U12" s="105">
        <v>0</v>
      </c>
      <c r="V12" s="21">
        <v>0</v>
      </c>
      <c r="W12" s="105">
        <v>1000</v>
      </c>
      <c r="Y12" s="51">
        <f>SUM(O12:W12)</f>
        <v>2553727.5500000003</v>
      </c>
    </row>
    <row r="13" spans="1:32" x14ac:dyDescent="0.15">
      <c r="G13" s="132"/>
      <c r="H13" s="137"/>
    </row>
    <row r="14" spans="1:32" x14ac:dyDescent="0.15">
      <c r="G14" s="132"/>
      <c r="H14" s="137"/>
      <c r="O14" s="51"/>
    </row>
    <row r="15" spans="1:32" x14ac:dyDescent="0.15">
      <c r="G15" s="132"/>
      <c r="H15" s="137"/>
      <c r="O15" s="51"/>
      <c r="P15" s="1"/>
      <c r="Q15" s="51"/>
    </row>
    <row r="16" spans="1:32" x14ac:dyDescent="0.15">
      <c r="G16" s="132"/>
      <c r="H16" s="137"/>
      <c r="O16" s="51"/>
      <c r="P16" s="1"/>
      <c r="Q16" s="51"/>
      <c r="X16" s="145"/>
    </row>
    <row r="17" spans="7:25" x14ac:dyDescent="0.15">
      <c r="G17" s="132"/>
      <c r="H17" s="137"/>
      <c r="O17" s="51"/>
      <c r="P17" s="51"/>
      <c r="Q17" s="51"/>
      <c r="T17" s="22">
        <v>592346</v>
      </c>
      <c r="U17" s="51"/>
      <c r="V17" s="164"/>
    </row>
    <row r="18" spans="7:25" x14ac:dyDescent="0.15">
      <c r="G18" s="132"/>
      <c r="H18" s="137"/>
      <c r="T18" s="51">
        <f>T17-T12</f>
        <v>60365</v>
      </c>
      <c r="V18" s="164"/>
    </row>
    <row r="19" spans="7:25" x14ac:dyDescent="0.15">
      <c r="G19" s="132"/>
      <c r="H19" s="137"/>
      <c r="O19" s="51"/>
      <c r="P19" s="102"/>
      <c r="V19" s="164"/>
      <c r="X19" s="147"/>
      <c r="Y19" s="1"/>
    </row>
    <row r="20" spans="7:25" x14ac:dyDescent="0.15">
      <c r="G20" s="132"/>
      <c r="H20" s="137"/>
      <c r="P20" s="110"/>
      <c r="V20" s="164"/>
    </row>
    <row r="21" spans="7:25" x14ac:dyDescent="0.15">
      <c r="G21" s="132"/>
      <c r="H21" s="137"/>
      <c r="P21" s="51"/>
      <c r="V21" s="51"/>
    </row>
    <row r="22" spans="7:25" x14ac:dyDescent="0.15">
      <c r="G22" s="132"/>
      <c r="H22" s="137"/>
    </row>
    <row r="23" spans="7:25" x14ac:dyDescent="0.15">
      <c r="G23" s="132"/>
      <c r="H23" s="137"/>
      <c r="V23" s="2"/>
    </row>
    <row r="24" spans="7:25" x14ac:dyDescent="0.15">
      <c r="G24" s="132"/>
      <c r="H24" s="137"/>
      <c r="P24" s="51"/>
    </row>
    <row r="25" spans="7:25" x14ac:dyDescent="0.15">
      <c r="G25" s="132"/>
      <c r="H25" s="137"/>
    </row>
    <row r="26" spans="7:25" x14ac:dyDescent="0.15">
      <c r="G26" s="132"/>
      <c r="H26" s="137"/>
    </row>
    <row r="27" spans="7:25" x14ac:dyDescent="0.15">
      <c r="G27" s="132"/>
      <c r="H27" s="137"/>
    </row>
    <row r="28" spans="7:25" x14ac:dyDescent="0.15">
      <c r="G28" s="132"/>
      <c r="H28" s="137"/>
    </row>
    <row r="29" spans="7:25" x14ac:dyDescent="0.15">
      <c r="H29" s="137"/>
    </row>
    <row r="30" spans="7:25" x14ac:dyDescent="0.15">
      <c r="H30" s="137"/>
    </row>
    <row r="31" spans="7:25" x14ac:dyDescent="0.15">
      <c r="H31" s="137"/>
    </row>
    <row r="32" spans="7:25" x14ac:dyDescent="0.15">
      <c r="H32" s="137"/>
    </row>
    <row r="33" spans="8:8" x14ac:dyDescent="0.15">
      <c r="H33" s="137"/>
    </row>
    <row r="34" spans="8:8" x14ac:dyDescent="0.15">
      <c r="H34" s="137"/>
    </row>
    <row r="35" spans="8:8" x14ac:dyDescent="0.15">
      <c r="H35" s="137"/>
    </row>
    <row r="36" spans="8:8" x14ac:dyDescent="0.15">
      <c r="H36" s="137"/>
    </row>
    <row r="37" spans="8:8" x14ac:dyDescent="0.15">
      <c r="H37" s="137"/>
    </row>
    <row r="38" spans="8:8" x14ac:dyDescent="0.15">
      <c r="H38" s="137"/>
    </row>
    <row r="39" spans="8:8" x14ac:dyDescent="0.15">
      <c r="H39" s="137"/>
    </row>
  </sheetData>
  <pageMargins left="0.7" right="0.7" top="0.75" bottom="0.75" header="0.3" footer="0.3"/>
  <pageSetup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E1DEB-AAEB-B74D-9157-6AA46250B0A3}">
  <dimension ref="A1:C18"/>
  <sheetViews>
    <sheetView workbookViewId="0">
      <selection activeCell="B15" sqref="B15"/>
    </sheetView>
  </sheetViews>
  <sheetFormatPr baseColWidth="10" defaultRowHeight="13" x14ac:dyDescent="0.15"/>
  <cols>
    <col min="2" max="3" width="10.83203125" style="1"/>
  </cols>
  <sheetData>
    <row r="1" spans="1:3" x14ac:dyDescent="0.15">
      <c r="B1" s="1">
        <v>1010</v>
      </c>
      <c r="C1" s="1">
        <v>3591.7</v>
      </c>
    </row>
    <row r="2" spans="1:3" x14ac:dyDescent="0.15">
      <c r="B2" s="1">
        <v>683</v>
      </c>
      <c r="C2" s="1">
        <v>2009.34</v>
      </c>
    </row>
    <row r="3" spans="1:3" x14ac:dyDescent="0.15">
      <c r="B3" s="1">
        <v>544.70000000000005</v>
      </c>
      <c r="C3" s="1">
        <v>1601</v>
      </c>
    </row>
    <row r="4" spans="1:3" x14ac:dyDescent="0.15">
      <c r="B4" s="1">
        <v>459.99</v>
      </c>
      <c r="C4" s="1">
        <v>950</v>
      </c>
    </row>
    <row r="5" spans="1:3" x14ac:dyDescent="0.15">
      <c r="B5" s="1">
        <v>416</v>
      </c>
      <c r="C5" s="1">
        <v>898</v>
      </c>
    </row>
    <row r="6" spans="1:3" x14ac:dyDescent="0.15">
      <c r="B6" s="1">
        <v>268</v>
      </c>
      <c r="C6" s="1">
        <v>546.95000000000005</v>
      </c>
    </row>
    <row r="7" spans="1:3" x14ac:dyDescent="0.15">
      <c r="B7" s="1">
        <v>259.3</v>
      </c>
      <c r="C7" s="1">
        <v>474.7</v>
      </c>
    </row>
    <row r="8" spans="1:3" x14ac:dyDescent="0.15">
      <c r="B8" s="1">
        <v>120</v>
      </c>
      <c r="C8" s="1">
        <v>420</v>
      </c>
    </row>
    <row r="9" spans="1:3" x14ac:dyDescent="0.15">
      <c r="B9" s="1">
        <v>34</v>
      </c>
      <c r="C9" s="1">
        <v>350</v>
      </c>
    </row>
    <row r="10" spans="1:3" x14ac:dyDescent="0.15">
      <c r="B10" s="1">
        <v>26.8</v>
      </c>
      <c r="C10" s="1">
        <v>344.8</v>
      </c>
    </row>
    <row r="14" spans="1:3" s="17" customFormat="1" x14ac:dyDescent="0.15">
      <c r="B14" s="18">
        <f>SUM(B1:B10)</f>
        <v>3821.79</v>
      </c>
      <c r="C14" s="18">
        <f>SUM(C1:C10)</f>
        <v>11186.490000000002</v>
      </c>
    </row>
    <row r="15" spans="1:3" x14ac:dyDescent="0.15">
      <c r="B15" s="1">
        <v>3860.69</v>
      </c>
      <c r="C15" s="1">
        <v>12202.09</v>
      </c>
    </row>
    <row r="16" spans="1:3" x14ac:dyDescent="0.15">
      <c r="A16" s="2" t="s">
        <v>50</v>
      </c>
      <c r="B16" s="1">
        <f>B15-B14</f>
        <v>38.900000000000091</v>
      </c>
      <c r="C16" s="1">
        <f>C15-C14</f>
        <v>1015.5999999999985</v>
      </c>
    </row>
    <row r="18" spans="2:3" x14ac:dyDescent="0.15">
      <c r="B18" s="19" t="s">
        <v>49</v>
      </c>
      <c r="C18" s="19" t="s">
        <v>51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Expense-Log</vt:lpstr>
      <vt:lpstr>MonthlyStats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cp:lastPrinted>2023-02-13T04:37:37Z</cp:lastPrinted>
  <dcterms:created xsi:type="dcterms:W3CDTF">2022-06-13T11:14:14Z</dcterms:created>
  <dcterms:modified xsi:type="dcterms:W3CDTF">2023-04-09T21:46:00Z</dcterms:modified>
</cp:coreProperties>
</file>