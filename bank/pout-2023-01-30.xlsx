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weiding/Sites/weidroot/weidroot_2017-01-06/app/github/wdingsoft/whjd/bank/"/>
    </mc:Choice>
  </mc:AlternateContent>
  <xr:revisionPtr revIDLastSave="0" documentId="13_ncr:1_{BF86D950-A7D7-E94B-9BB3-9E62C0103832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0" i="7" l="1"/>
  <c r="C10" i="7"/>
  <c r="N24" i="7"/>
  <c r="N22" i="7"/>
  <c r="K3" i="7"/>
  <c r="K4" i="7" s="1"/>
  <c r="P19" i="7"/>
  <c r="P21" i="7" s="1"/>
  <c r="Y3" i="7"/>
  <c r="Y9" i="7"/>
  <c r="AF8" i="7"/>
  <c r="D19" i="6"/>
  <c r="X7" i="7"/>
  <c r="Y8" i="7"/>
  <c r="G7" i="7"/>
  <c r="G8" i="7" s="1"/>
  <c r="G9" i="7" s="1"/>
  <c r="K7" i="7"/>
  <c r="K8" i="7" s="1"/>
  <c r="K9" i="7" s="1"/>
  <c r="O19" i="7"/>
  <c r="O16" i="7"/>
  <c r="O14" i="7"/>
  <c r="Y19" i="7"/>
  <c r="Y6" i="7"/>
  <c r="Y7" i="7" s="1"/>
  <c r="Y5" i="7"/>
  <c r="Y4" i="7"/>
  <c r="P24" i="7" l="1"/>
  <c r="F4" i="7"/>
  <c r="L5" i="7"/>
  <c r="G120" i="6"/>
  <c r="D20" i="6"/>
  <c r="D5" i="6" s="1"/>
  <c r="U17" i="7"/>
  <c r="T17" i="7"/>
  <c r="D4" i="6"/>
  <c r="C85" i="6"/>
  <c r="C54" i="6"/>
  <c r="C41" i="6"/>
  <c r="C16" i="8"/>
  <c r="B14" i="8"/>
  <c r="B16" i="8" s="1"/>
  <c r="C14" i="8"/>
  <c r="C19" i="6" l="1"/>
  <c r="I19" i="6" s="1"/>
  <c r="C20" i="6"/>
  <c r="K5" i="7"/>
  <c r="C5" i="6"/>
  <c r="H119" i="6"/>
  <c r="H120" i="6" s="1"/>
  <c r="C4" i="6" l="1"/>
  <c r="J119" i="6"/>
  <c r="H6" i="6"/>
  <c r="T18" i="7" l="1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X7" authorId="0" shapeId="0" xr:uid="{213274C8-2F60-104A-A67F-50E866C01E29}">
      <text>
        <r>
          <rPr>
            <b/>
            <sz val="10"/>
            <color rgb="FF000000"/>
            <rFont val="Tahoma"/>
            <family val="2"/>
          </rPr>
          <t xml:space="preserve">add
</t>
        </r>
        <r>
          <rPr>
            <b/>
            <sz val="10"/>
            <color rgb="FF000000"/>
            <rFont val="Tahoma"/>
            <family val="2"/>
          </rPr>
          <t xml:space="preserve"> WD (12500) for USD exhange.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235k+125k=360k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  <comment ref="P19" authorId="0" shapeId="0" xr:uid="{18D32B5B-7EA5-624E-AD80-1D6D05FE4026}">
      <text>
        <r>
          <rPr>
            <b/>
            <sz val="10"/>
            <color rgb="FF000000"/>
            <rFont val="Tahoma"/>
            <family val="2"/>
          </rPr>
          <t xml:space="preserve">Consume:51,002
</t>
        </r>
        <r>
          <rPr>
            <b/>
            <sz val="10"/>
            <color rgb="FF000000"/>
            <rFont val="Tahoma"/>
            <family val="2"/>
          </rPr>
          <t xml:space="preserve">+
</t>
        </r>
        <r>
          <rPr>
            <b/>
            <sz val="10"/>
            <color rgb="FF000000"/>
            <rFont val="Tahoma"/>
            <family val="2"/>
          </rPr>
          <t xml:space="preserve">Exchange:343,993.12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<sst xmlns="http://schemas.openxmlformats.org/spreadsheetml/2006/main" count="283" uniqueCount="186">
  <si>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</si>
  <si>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</si>
  <si>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</si>
  <si>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</si>
  <si>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</si>
  <si>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</si>
  <si>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</si>
  <si>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</si>
  <si>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</si>
  <si>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</si>
  <si>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</si>
  <si>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</si>
  <si>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</si>
  <si>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</si>
  <si>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</si>
  <si>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</si>
  <si>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</si>
  <si>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</si>
  <si>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</si>
  <si>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</si>
  <si>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</si>
  <si>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</si>
  <si>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</si>
  <si>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</si>
  <si>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</si>
  <si>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</si>
  <si>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</si>
  <si>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</si>
  <si>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</si>
  <si>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</si>
  <si>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</si>
  <si>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</si>
  <si>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</si>
  <si>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</si>
  <si>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</si>
  <si>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</si>
  <si>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</si>
  <si>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</si>
  <si>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</si>
  <si>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</si>
  <si>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</si>
  <si>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</si>
  <si>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</si>
  <si>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</si>
  <si>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</si>
  <si>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</si>
  <si>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</si>
  <si>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</si>
  <si>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</si>
  <si>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</si>
  <si>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</si>
  <si>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</si>
  <si>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</si>
  <si>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</si>
  <si>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</si>
  <si>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</si>
  <si>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</si>
  <si>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</si>
  <si>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</si>
  <si>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</si>
  <si>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</si>
  <si>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</si>
  <si>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</si>
  <si>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</si>
  <si>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</si>
  <si>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</si>
  <si>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</si>
  <si>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</si>
  <si>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</si>
  <si>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</si>
  <si>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</si>
  <si>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</si>
  <si>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</si>
  <si>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</si>
  <si>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</si>
  <si>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Buffer-zhaoshang</t>
  </si>
  <si>
    <t>Buffer-icbc</t>
  </si>
  <si>
    <t>Buffer-yc</t>
  </si>
  <si>
    <t>Buffer-zhongxin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</si>
  <si>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</si>
  <si>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</si>
  <si>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</si>
  <si>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</si>
  <si>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</si>
  <si>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</si>
  <si>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</si>
  <si>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</si>
  <si>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</si>
  <si>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</si>
  <si>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</si>
  <si>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</si>
  <si>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</si>
  <si>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</si>
  <si>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</si>
  <si>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</si>
  <si>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</si>
  <si>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</si>
  <si>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</si>
  <si>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</si>
  <si>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</si>
  <si>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</si>
  <si>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</si>
  <si>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</si>
  <si>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</si>
  <si>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</si>
  <si>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</si>
  <si>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</si>
  <si>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</si>
  <si>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</si>
  <si>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</si>
  <si>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</si>
  <si>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</si>
  <si>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</si>
  <si>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</si>
  <si>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</si>
  <si>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</si>
  <si>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WD-Icbc</t>
  </si>
  <si>
    <t>2022-10</t>
  </si>
  <si>
    <t>2022-11</t>
  </si>
  <si>
    <t>2022-12</t>
  </si>
  <si>
    <t>2023-01</t>
  </si>
  <si>
    <t>2023-03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</si>
  <si>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</si>
  <si>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</si>
  <si>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</si>
  <si>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</si>
  <si>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</si>
  <si>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</si>
  <si>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</si>
  <si>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</si>
  <si>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</si>
  <si>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</si>
  <si>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</si>
  <si>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</si>
  <si>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</si>
  <si>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</si>
  <si>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</si>
  <si>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</si>
  <si>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</si>
  <si>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</si>
  <si>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</si>
  <si>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</si>
  <si>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</si>
  <si>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</si>
  <si>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</si>
  <si>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</si>
  <si>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</si>
  <si>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</si>
  <si>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</si>
  <si>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</si>
  <si>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</si>
  <si>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</si>
  <si>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CY(In)</t>
  </si>
  <si>
    <t>CY(Out)</t>
  </si>
  <si>
    <t>Tot_CY_Bank(Y)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</si>
  <si>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</si>
  <si>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</si>
  <si>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</si>
  <si>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</si>
  <si>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</si>
  <si>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</si>
  <si>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</si>
  <si>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</si>
  <si>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</si>
  <si>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</si>
  <si>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</si>
  <si>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</si>
  <si>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</si>
  <si>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</si>
  <si>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</si>
  <si>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</si>
  <si>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</si>
  <si>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</si>
  <si>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</si>
  <si>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</si>
  <si>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</si>
  <si>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</si>
  <si>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</si>
  <si>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</si>
  <si>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</si>
  <si>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</si>
  <si>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</si>
  <si>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ZhongGuoZhongYiKeXieYuan-Eye</t>
  </si>
  <si>
    <t>Taxi</t>
  </si>
  <si>
    <t>23-02-27</t>
  </si>
  <si>
    <t>23-02-21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</si>
</sst>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55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2" xfId="0" applyFill="1" applyBorder="1"/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4" fontId="16" fillId="0" borderId="0" xfId="0" applyNumberFormat="1" applyFont="1"/>
    <xf numFmtId="0" fontId="16" fillId="0" borderId="0" xfId="0" applyFont="1"/>
    <xf numFmtId="44" fontId="16" fillId="0" borderId="0" xfId="2" applyFont="1" applyAlignment="1"/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166"/>
  <sheetViews>
    <sheetView tabSelected="1" topLeftCell="A142" zoomScale="125" workbookViewId="0">
      <selection activeCell="F157" sqref="F157"/>
    </sheetView>
  </sheetViews>
  <sheetFormatPr baseColWidth="10" defaultRowHeight="13" x14ac:dyDescent="0.15"/>
  <cols>
    <col min="1" max="1" width="14.1640625" customWidth="1"/>
    <col min="3" max="3" width="21" style="3" customWidth="1"/>
    <col min="4" max="4" width="21" style="4" customWidth="1"/>
    <col min="5" max="5" width="21" style="151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9" t="s">
        <v>169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50"/>
      <c r="F2" s="12"/>
    </row>
    <row r="3" spans="1:8" s="25" customFormat="1" ht="26" customHeight="1" x14ac:dyDescent="0.15">
      <c r="D3" s="26"/>
      <c r="E3" s="151"/>
    </row>
    <row r="4" spans="1:8" s="52" customFormat="1" ht="23" customHeight="1" x14ac:dyDescent="0.15">
      <c r="A4" s="56" t="s">
        <v>33</v>
      </c>
      <c r="B4" s="53" t="s">
        <v>84</v>
      </c>
      <c r="C4" s="55">
        <f>C2+SUM(C6:C16)+C19</f>
        <v>2519641.8199999998</v>
      </c>
      <c r="D4" s="54">
        <f>D2+SUM(D6:D15)+D19</f>
        <v>39577.699999999997</v>
      </c>
      <c r="E4" s="152"/>
      <c r="G4" s="57" t="s">
        <v>52</v>
      </c>
    </row>
    <row r="5" spans="1:8" s="52" customFormat="1" ht="23" customHeight="1" x14ac:dyDescent="0.15">
      <c r="A5" s="56" t="s">
        <v>33</v>
      </c>
      <c r="B5" s="53" t="s">
        <v>98</v>
      </c>
      <c r="C5" s="55">
        <f>C2+SUM(C6:C16)+C20</f>
        <v>2881723.13</v>
      </c>
      <c r="D5" s="54">
        <f>D2+SUM(D6:D15)+D20</f>
        <v>39577.699999999997</v>
      </c>
      <c r="E5" s="152"/>
      <c r="G5" s="57"/>
    </row>
    <row r="6" spans="1:8" s="21" customFormat="1" x14ac:dyDescent="0.15">
      <c r="A6" s="20" t="s">
        <v>87</v>
      </c>
      <c r="B6" s="21" t="s">
        <v>26</v>
      </c>
      <c r="C6" s="23">
        <v>-343993.12</v>
      </c>
      <c r="D6" s="4">
        <v>49980</v>
      </c>
      <c r="E6" s="153"/>
      <c r="F6" s="24" t="s">
        <v>112</v>
      </c>
      <c r="G6" s="21">
        <v>-6.88</v>
      </c>
      <c r="H6" s="41">
        <f>C6+C19</f>
        <v>-755535.42999999993</v>
      </c>
    </row>
    <row r="7" spans="1:8" s="21" customFormat="1" x14ac:dyDescent="0.15">
      <c r="A7" s="20"/>
      <c r="C7" s="23"/>
      <c r="D7" s="4"/>
      <c r="E7" s="153"/>
      <c r="F7" s="24"/>
    </row>
    <row r="8" spans="1:8" s="21" customFormat="1" x14ac:dyDescent="0.15">
      <c r="A8" s="20"/>
      <c r="C8" s="23"/>
      <c r="D8" s="4"/>
      <c r="E8" s="153"/>
      <c r="F8" s="24"/>
    </row>
    <row r="9" spans="1:8" s="21" customFormat="1" x14ac:dyDescent="0.15">
      <c r="A9" s="20"/>
      <c r="C9" s="23"/>
      <c r="D9" s="4"/>
      <c r="E9" s="153"/>
      <c r="F9" s="24"/>
    </row>
    <row r="10" spans="1:8" s="21" customFormat="1" x14ac:dyDescent="0.15">
      <c r="A10" s="20"/>
      <c r="C10" s="23"/>
      <c r="D10" s="4"/>
      <c r="E10" s="153"/>
      <c r="F10" s="24"/>
    </row>
    <row r="11" spans="1:8" s="21" customFormat="1" x14ac:dyDescent="0.15">
      <c r="A11" s="20"/>
      <c r="C11" s="23"/>
      <c r="D11" s="4"/>
      <c r="E11" s="153"/>
      <c r="F11" s="24"/>
    </row>
    <row r="12" spans="1:8" s="21" customFormat="1" x14ac:dyDescent="0.15">
      <c r="A12" s="20"/>
      <c r="C12" s="23"/>
      <c r="D12" s="4"/>
      <c r="E12" s="153"/>
      <c r="F12" s="24"/>
    </row>
    <row r="13" spans="1:8" s="21" customFormat="1" x14ac:dyDescent="0.15">
      <c r="A13" s="20"/>
      <c r="C13" s="23"/>
      <c r="D13" s="4"/>
      <c r="E13" s="153"/>
      <c r="F13" s="24"/>
    </row>
    <row r="14" spans="1:8" s="21" customFormat="1" x14ac:dyDescent="0.15">
      <c r="A14" s="20"/>
      <c r="C14" s="23"/>
      <c r="D14" s="4"/>
      <c r="E14" s="153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53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51"/>
      <c r="F16" s="29"/>
    </row>
    <row r="17" spans="1:15" s="25" customFormat="1" ht="35" customHeight="1" x14ac:dyDescent="0.15">
      <c r="A17" s="27"/>
      <c r="C17" s="28"/>
      <c r="D17" s="26"/>
      <c r="E17" s="151"/>
      <c r="F17" s="29"/>
    </row>
    <row r="18" spans="1:15" s="25" customFormat="1" ht="35" customHeight="1" x14ac:dyDescent="0.15">
      <c r="A18" s="27"/>
      <c r="C18" s="28"/>
      <c r="D18" s="26"/>
      <c r="E18" s="151"/>
      <c r="F18" s="29"/>
    </row>
    <row r="19" spans="1:15" s="15" customFormat="1" ht="23" customHeight="1" x14ac:dyDescent="0.15">
      <c r="A19" s="15" t="s">
        <v>133</v>
      </c>
      <c r="B19" s="15" t="s">
        <v>84</v>
      </c>
      <c r="C19" s="16">
        <f>SUM(C21:C1131)</f>
        <v>-411542.30999999994</v>
      </c>
      <c r="D19" s="14">
        <f>SUM(D21:D120)</f>
        <v>-17185.04</v>
      </c>
      <c r="E19" s="14"/>
      <c r="I19" s="46">
        <f>C19+C6</f>
        <v>-755535.42999999993</v>
      </c>
    </row>
    <row r="20" spans="1:15" s="59" customFormat="1" ht="23" customHeight="1" x14ac:dyDescent="0.15">
      <c r="A20" s="15" t="s">
        <v>133</v>
      </c>
      <c r="B20" s="15" t="s">
        <v>98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101</v>
      </c>
      <c r="C21" s="23"/>
      <c r="D21" s="4">
        <v>-390</v>
      </c>
      <c r="E21" s="153"/>
      <c r="F21" s="30" t="s">
        <v>123</v>
      </c>
      <c r="G21" s="21"/>
      <c r="M21" s="49"/>
      <c r="N21" s="49">
        <v>5000</v>
      </c>
      <c r="O21" s="2" t="s">
        <v>113</v>
      </c>
    </row>
    <row r="22" spans="1:15" x14ac:dyDescent="0.15">
      <c r="B22" s="30"/>
      <c r="C22" s="23"/>
      <c r="E22" s="153"/>
      <c r="F22" s="30"/>
      <c r="G22" s="21"/>
      <c r="N22">
        <v>1000</v>
      </c>
      <c r="O22" s="2" t="s">
        <v>109</v>
      </c>
    </row>
    <row r="23" spans="1:15" x14ac:dyDescent="0.15">
      <c r="B23" s="21" t="s">
        <v>30</v>
      </c>
      <c r="C23" s="23"/>
      <c r="D23" s="4">
        <v>-249</v>
      </c>
      <c r="E23" s="153"/>
      <c r="F23" s="30" t="s">
        <v>100</v>
      </c>
      <c r="G23" s="21"/>
      <c r="N23">
        <v>1000</v>
      </c>
      <c r="O23" s="2" t="s">
        <v>110</v>
      </c>
    </row>
    <row r="24" spans="1:15" x14ac:dyDescent="0.15">
      <c r="B24" s="21" t="s">
        <v>29</v>
      </c>
      <c r="C24" s="23"/>
      <c r="D24" s="4">
        <v>-435</v>
      </c>
      <c r="E24" s="153"/>
      <c r="F24" s="30" t="s">
        <v>124</v>
      </c>
      <c r="G24" s="21"/>
      <c r="N24">
        <v>3000</v>
      </c>
      <c r="O24" s="2" t="s">
        <v>114</v>
      </c>
    </row>
    <row r="25" spans="1:15" x14ac:dyDescent="0.15">
      <c r="B25" s="21"/>
      <c r="C25" s="23"/>
      <c r="D25" s="4">
        <v>-133.6</v>
      </c>
      <c r="E25" s="153"/>
      <c r="F25" s="30" t="s">
        <v>104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53"/>
      <c r="F26" s="30" t="s">
        <v>99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53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53"/>
      <c r="F28" s="30" t="s">
        <v>130</v>
      </c>
      <c r="G28" s="21"/>
    </row>
    <row r="29" spans="1:15" x14ac:dyDescent="0.15">
      <c r="B29" s="21"/>
      <c r="C29" s="23"/>
      <c r="E29" s="153"/>
      <c r="F29" s="30" t="s">
        <v>125</v>
      </c>
      <c r="G29" s="21"/>
    </row>
    <row r="30" spans="1:15" x14ac:dyDescent="0.15">
      <c r="B30" s="21"/>
      <c r="C30" s="23"/>
      <c r="E30" s="153"/>
      <c r="F30" s="30" t="s">
        <v>122</v>
      </c>
      <c r="G30" s="21"/>
    </row>
    <row r="31" spans="1:15" x14ac:dyDescent="0.15">
      <c r="B31" s="21"/>
      <c r="C31" s="23"/>
      <c r="E31" s="153"/>
      <c r="F31" s="30" t="s">
        <v>126</v>
      </c>
      <c r="G31" s="21"/>
    </row>
    <row r="32" spans="1:15" x14ac:dyDescent="0.15">
      <c r="B32" s="21"/>
      <c r="C32" s="23"/>
      <c r="E32" s="153"/>
      <c r="F32" s="30" t="s">
        <v>127</v>
      </c>
      <c r="G32" s="21"/>
    </row>
    <row r="33" spans="2:7" x14ac:dyDescent="0.15">
      <c r="B33" s="21"/>
      <c r="C33" s="23"/>
      <c r="D33" s="4">
        <v>0</v>
      </c>
      <c r="E33" s="153"/>
      <c r="F33" s="30" t="s">
        <v>128</v>
      </c>
      <c r="G33" s="21"/>
    </row>
    <row r="34" spans="2:7" x14ac:dyDescent="0.15">
      <c r="B34" s="21"/>
      <c r="C34" s="23"/>
      <c r="D34" s="4">
        <v>0</v>
      </c>
      <c r="E34" s="153"/>
      <c r="F34" s="30" t="s">
        <v>108</v>
      </c>
      <c r="G34" s="21"/>
    </row>
    <row r="35" spans="2:7" x14ac:dyDescent="0.15">
      <c r="B35" s="21"/>
      <c r="C35" s="23"/>
      <c r="D35" s="4">
        <v>-1000</v>
      </c>
      <c r="E35" s="153"/>
      <c r="F35" s="30" t="s">
        <v>129</v>
      </c>
      <c r="G35" s="21"/>
    </row>
    <row r="36" spans="2:7" x14ac:dyDescent="0.15">
      <c r="B36" s="21"/>
      <c r="C36" s="34"/>
      <c r="D36" s="42"/>
      <c r="E36" s="153"/>
      <c r="F36" s="30"/>
      <c r="G36" s="21"/>
    </row>
    <row r="37" spans="2:7" x14ac:dyDescent="0.15">
      <c r="B37" s="32" t="s">
        <v>79</v>
      </c>
      <c r="C37" s="23">
        <v>-1030.24</v>
      </c>
      <c r="E37" s="153"/>
      <c r="F37" s="21" t="s">
        <v>80</v>
      </c>
      <c r="G37" s="21"/>
    </row>
    <row r="38" spans="2:7" x14ac:dyDescent="0.15">
      <c r="B38" s="32" t="s">
        <v>79</v>
      </c>
      <c r="C38" s="23">
        <v>-314.75</v>
      </c>
      <c r="E38" s="153"/>
      <c r="F38" s="21" t="s">
        <v>60</v>
      </c>
      <c r="G38" s="21"/>
    </row>
    <row r="39" spans="2:7" x14ac:dyDescent="0.15">
      <c r="B39" s="32" t="s">
        <v>79</v>
      </c>
      <c r="C39" s="23">
        <v>-198.3</v>
      </c>
      <c r="E39" s="153"/>
      <c r="F39" s="43" t="s">
        <v>81</v>
      </c>
      <c r="G39" s="21"/>
    </row>
    <row r="40" spans="2:7" x14ac:dyDescent="0.15">
      <c r="B40" s="32" t="s">
        <v>79</v>
      </c>
      <c r="C40" s="23">
        <v>-125</v>
      </c>
      <c r="E40" s="153"/>
      <c r="F40" s="42" t="s">
        <v>82</v>
      </c>
      <c r="G40" s="21"/>
    </row>
    <row r="41" spans="2:7" x14ac:dyDescent="0.15">
      <c r="B41" s="30" t="s">
        <v>79</v>
      </c>
      <c r="C41" s="23">
        <f>G41-SUM(C37:C40)</f>
        <v>-65.860000000000127</v>
      </c>
      <c r="E41" s="153"/>
      <c r="F41" s="30" t="s">
        <v>83</v>
      </c>
      <c r="G41" s="44">
        <v>-1734.15</v>
      </c>
    </row>
    <row r="42" spans="2:7" x14ac:dyDescent="0.15">
      <c r="B42" s="30"/>
      <c r="C42" s="34"/>
      <c r="E42" s="153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53"/>
      <c r="F44" s="30"/>
      <c r="G44" s="30"/>
    </row>
    <row r="45" spans="2:7" x14ac:dyDescent="0.15">
      <c r="B45" s="30" t="s">
        <v>21</v>
      </c>
      <c r="C45" s="23">
        <v>0</v>
      </c>
      <c r="E45" s="153"/>
      <c r="F45" s="30"/>
      <c r="G45" s="30"/>
    </row>
    <row r="46" spans="2:7" x14ac:dyDescent="0.15">
      <c r="B46" s="30" t="s">
        <v>21</v>
      </c>
      <c r="C46" s="23">
        <v>-16560</v>
      </c>
      <c r="E46" s="153"/>
      <c r="F46" s="43" t="s">
        <v>88</v>
      </c>
      <c r="G46" s="30"/>
    </row>
    <row r="47" spans="2:7" x14ac:dyDescent="0.15">
      <c r="B47" s="30" t="s">
        <v>21</v>
      </c>
      <c r="C47" s="23">
        <v>-343</v>
      </c>
      <c r="E47" s="153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53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53"/>
      <c r="F49" s="21" t="s">
        <v>90</v>
      </c>
      <c r="G49" s="44"/>
    </row>
    <row r="50" spans="1:7" x14ac:dyDescent="0.15">
      <c r="A50" s="2"/>
      <c r="B50" s="30" t="s">
        <v>21</v>
      </c>
      <c r="C50" s="23">
        <v>-55</v>
      </c>
      <c r="E50" s="153"/>
      <c r="F50" s="21" t="s">
        <v>89</v>
      </c>
      <c r="G50" s="44"/>
    </row>
    <row r="51" spans="1:7" x14ac:dyDescent="0.15">
      <c r="A51" s="2"/>
      <c r="B51" s="30" t="s">
        <v>21</v>
      </c>
      <c r="C51" s="23">
        <v>-27</v>
      </c>
      <c r="E51" s="153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53"/>
      <c r="F52" s="30" t="s">
        <v>93</v>
      </c>
      <c r="G52" s="44"/>
    </row>
    <row r="53" spans="1:7" x14ac:dyDescent="0.15">
      <c r="A53" s="2"/>
      <c r="B53" s="30" t="s">
        <v>21</v>
      </c>
      <c r="C53" s="23">
        <v>-0.9</v>
      </c>
      <c r="E53" s="153"/>
      <c r="F53" s="21" t="s">
        <v>94</v>
      </c>
      <c r="G53" s="44"/>
    </row>
    <row r="54" spans="1:7" x14ac:dyDescent="0.15">
      <c r="B54" s="30" t="s">
        <v>21</v>
      </c>
      <c r="C54" s="23">
        <f>G54-SUM(C45:C53)</f>
        <v>0</v>
      </c>
      <c r="E54" s="153"/>
      <c r="F54" s="30" t="s">
        <v>83</v>
      </c>
      <c r="G54" s="44">
        <v>-17397.900000000001</v>
      </c>
    </row>
    <row r="55" spans="1:7" x14ac:dyDescent="0.15">
      <c r="B55" s="30"/>
      <c r="C55" s="23"/>
      <c r="E55" s="153"/>
      <c r="F55" s="42"/>
      <c r="G55" s="44"/>
    </row>
    <row r="56" spans="1:7" x14ac:dyDescent="0.15">
      <c r="B56" s="30"/>
      <c r="C56" s="34"/>
      <c r="D56" s="42"/>
      <c r="E56" s="153"/>
      <c r="F56" s="30"/>
      <c r="G56" s="30"/>
    </row>
    <row r="57" spans="1:7" x14ac:dyDescent="0.15">
      <c r="B57" s="30" t="s">
        <v>14</v>
      </c>
      <c r="C57" s="23"/>
      <c r="E57" s="153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53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53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53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53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53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53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53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53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53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53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53"/>
      <c r="F68" s="30" t="s">
        <v>25</v>
      </c>
      <c r="G68" s="30"/>
    </row>
    <row r="69" spans="2:7" x14ac:dyDescent="0.15">
      <c r="B69" s="31" t="s">
        <v>0</v>
      </c>
      <c r="C69" s="23"/>
      <c r="E69" s="153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53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53"/>
      <c r="F71" s="30" t="s">
        <v>20</v>
      </c>
      <c r="G71" s="30"/>
    </row>
    <row r="72" spans="2:7" x14ac:dyDescent="0.15">
      <c r="B72" s="32" t="s">
        <v>19</v>
      </c>
      <c r="C72" s="23"/>
      <c r="E72" s="153"/>
      <c r="F72" s="30" t="s">
        <v>20</v>
      </c>
      <c r="G72" s="30"/>
    </row>
    <row r="73" spans="2:7" x14ac:dyDescent="0.15">
      <c r="B73" s="32" t="s">
        <v>19</v>
      </c>
      <c r="C73" s="23"/>
      <c r="E73" s="153"/>
      <c r="F73" s="30" t="s">
        <v>20</v>
      </c>
      <c r="G73" s="30"/>
    </row>
    <row r="74" spans="2:7" x14ac:dyDescent="0.15">
      <c r="B74" s="32" t="s">
        <v>19</v>
      </c>
      <c r="C74" s="23"/>
      <c r="E74" s="153"/>
      <c r="F74" s="30" t="s">
        <v>20</v>
      </c>
      <c r="G74" s="30"/>
    </row>
    <row r="75" spans="2:7" x14ac:dyDescent="0.15">
      <c r="B75" s="30" t="s">
        <v>17</v>
      </c>
      <c r="C75" s="23"/>
      <c r="E75" s="153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53"/>
      <c r="F76" s="30"/>
      <c r="G76" s="30"/>
    </row>
    <row r="77" spans="2:7" x14ac:dyDescent="0.15">
      <c r="B77" s="30" t="s">
        <v>17</v>
      </c>
      <c r="C77" s="23">
        <v>-7238</v>
      </c>
      <c r="E77" s="153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53"/>
      <c r="F78" s="30" t="s">
        <v>96</v>
      </c>
      <c r="G78" s="30"/>
    </row>
    <row r="79" spans="2:7" x14ac:dyDescent="0.15">
      <c r="B79" s="30" t="s">
        <v>17</v>
      </c>
      <c r="C79" s="23">
        <v>-880.38</v>
      </c>
      <c r="E79" s="153"/>
      <c r="F79" s="30" t="s">
        <v>97</v>
      </c>
      <c r="G79" s="30"/>
    </row>
    <row r="80" spans="2:7" x14ac:dyDescent="0.15">
      <c r="B80" s="30" t="s">
        <v>17</v>
      </c>
      <c r="C80" s="23">
        <v>-296</v>
      </c>
      <c r="E80" s="153"/>
      <c r="F80" s="30" t="s">
        <v>95</v>
      </c>
      <c r="G80" s="30"/>
    </row>
    <row r="81" spans="2:7" x14ac:dyDescent="0.15">
      <c r="B81" s="30" t="s">
        <v>17</v>
      </c>
      <c r="C81" s="23">
        <v>-232</v>
      </c>
      <c r="E81" s="153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53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53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53"/>
      <c r="F84" s="21" t="s">
        <v>90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53"/>
      <c r="F85" s="30" t="s">
        <v>83</v>
      </c>
      <c r="G85" s="44">
        <v>-12807.28</v>
      </c>
    </row>
    <row r="86" spans="2:7" x14ac:dyDescent="0.15">
      <c r="B86" s="32"/>
      <c r="C86" s="34"/>
      <c r="D86" s="42"/>
      <c r="E86" s="153"/>
      <c r="F86" s="30"/>
      <c r="G86" s="21"/>
    </row>
    <row r="87" spans="2:7" x14ac:dyDescent="0.15">
      <c r="B87" s="32" t="s">
        <v>48</v>
      </c>
      <c r="C87" s="23">
        <v>-1010</v>
      </c>
      <c r="E87" s="153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53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53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53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53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53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53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53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53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53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53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53"/>
      <c r="F98" s="30"/>
      <c r="G98" s="21"/>
    </row>
    <row r="99" spans="2:7" x14ac:dyDescent="0.15">
      <c r="B99" s="32" t="s">
        <v>52</v>
      </c>
      <c r="C99" s="23">
        <v>-3591.7</v>
      </c>
      <c r="E99" s="153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53"/>
      <c r="F100" s="43" t="s">
        <v>91</v>
      </c>
      <c r="G100" s="21"/>
    </row>
    <row r="101" spans="2:7" x14ac:dyDescent="0.15">
      <c r="B101" s="32" t="s">
        <v>52</v>
      </c>
      <c r="C101" s="23">
        <v>-1601</v>
      </c>
      <c r="E101" s="153"/>
      <c r="F101" s="43" t="s">
        <v>92</v>
      </c>
      <c r="G101" s="21"/>
    </row>
    <row r="102" spans="2:7" x14ac:dyDescent="0.15">
      <c r="B102" s="32" t="s">
        <v>52</v>
      </c>
      <c r="C102" s="23">
        <v>-950</v>
      </c>
      <c r="E102" s="153"/>
      <c r="F102" s="43" t="s">
        <v>86</v>
      </c>
      <c r="G102" s="21"/>
    </row>
    <row r="103" spans="2:7" x14ac:dyDescent="0.15">
      <c r="B103" s="32" t="s">
        <v>52</v>
      </c>
      <c r="C103" s="23">
        <v>-898</v>
      </c>
      <c r="E103" s="153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53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53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53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53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53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53"/>
      <c r="F109" s="43" t="s">
        <v>70</v>
      </c>
      <c r="G109" s="45">
        <v>-12202.09</v>
      </c>
    </row>
    <row r="110" spans="2:7" x14ac:dyDescent="0.15">
      <c r="B110" s="30" t="s">
        <v>106</v>
      </c>
      <c r="C110" s="23">
        <v>-898</v>
      </c>
      <c r="D110" s="4">
        <v>-4948.92</v>
      </c>
      <c r="E110" s="153"/>
      <c r="F110" s="30" t="s">
        <v>135</v>
      </c>
      <c r="G110" s="21"/>
    </row>
    <row r="111" spans="2:7" x14ac:dyDescent="0.15">
      <c r="B111" s="30" t="s">
        <v>107</v>
      </c>
      <c r="C111" s="33"/>
      <c r="D111" s="4">
        <v>-2430.7199999999998</v>
      </c>
      <c r="E111" s="153"/>
      <c r="F111" s="30" t="s">
        <v>105</v>
      </c>
      <c r="G111" s="21"/>
    </row>
    <row r="112" spans="2:7" x14ac:dyDescent="0.15">
      <c r="B112" s="30" t="s">
        <v>47</v>
      </c>
      <c r="C112" s="23"/>
      <c r="E112" s="153"/>
      <c r="F112" s="30" t="s">
        <v>69</v>
      </c>
      <c r="G112" s="21"/>
    </row>
    <row r="113" spans="2:10" x14ac:dyDescent="0.15">
      <c r="B113" s="30" t="s">
        <v>46</v>
      </c>
      <c r="C113" s="23"/>
      <c r="E113" s="153"/>
      <c r="F113" s="30" t="s">
        <v>68</v>
      </c>
      <c r="G113" s="21"/>
    </row>
    <row r="114" spans="2:10" x14ac:dyDescent="0.15">
      <c r="B114" s="30"/>
      <c r="C114" s="34"/>
      <c r="D114" s="42"/>
      <c r="E114" s="153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53"/>
      <c r="F115" s="30" t="s">
        <v>40</v>
      </c>
      <c r="G115" s="21"/>
    </row>
    <row r="116" spans="2:10" x14ac:dyDescent="0.15">
      <c r="B116" s="30" t="s">
        <v>102</v>
      </c>
      <c r="C116" s="33"/>
      <c r="D116" s="4">
        <v>-30</v>
      </c>
      <c r="E116" s="153"/>
      <c r="F116" s="30" t="s">
        <v>103</v>
      </c>
      <c r="G116" s="21"/>
    </row>
    <row r="117" spans="2:10" x14ac:dyDescent="0.15">
      <c r="B117" s="30" t="s">
        <v>102</v>
      </c>
      <c r="C117" s="33"/>
      <c r="D117" s="4">
        <v>-600</v>
      </c>
      <c r="E117" s="153"/>
      <c r="F117" s="30" t="s">
        <v>111</v>
      </c>
      <c r="G117" s="21"/>
    </row>
    <row r="118" spans="2:10" x14ac:dyDescent="0.15">
      <c r="B118" s="30" t="s">
        <v>102</v>
      </c>
      <c r="C118" s="33"/>
      <c r="D118" s="4">
        <v>-2000</v>
      </c>
      <c r="E118" s="153"/>
      <c r="F118" s="30" t="s">
        <v>134</v>
      </c>
      <c r="G118" s="21"/>
      <c r="H118" s="50">
        <v>-41627.699999999997</v>
      </c>
    </row>
    <row r="119" spans="2:10" x14ac:dyDescent="0.15">
      <c r="B119" s="30" t="s">
        <v>102</v>
      </c>
      <c r="C119" s="33"/>
      <c r="D119" s="4">
        <v>0</v>
      </c>
      <c r="E119" s="153"/>
      <c r="F119" s="30" t="s">
        <v>131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102</v>
      </c>
      <c r="C120" s="23">
        <v>-150</v>
      </c>
      <c r="D120" s="47"/>
      <c r="E120" s="18"/>
      <c r="F120" s="30" t="s">
        <v>132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53"/>
      <c r="F121" s="21"/>
      <c r="G121" s="21"/>
    </row>
    <row r="122" spans="2:10" x14ac:dyDescent="0.15">
      <c r="B122" s="21"/>
      <c r="C122" s="21"/>
      <c r="D122" s="42"/>
      <c r="E122" s="153"/>
      <c r="F122" s="21"/>
      <c r="G122" s="21"/>
    </row>
    <row r="124" spans="2:10" x14ac:dyDescent="0.15">
      <c r="B124" s="69" t="s">
        <v>136</v>
      </c>
      <c r="C124" s="23"/>
      <c r="D124" s="4">
        <v>-260</v>
      </c>
      <c r="E124" s="153"/>
      <c r="F124" s="21" t="s">
        <v>137</v>
      </c>
      <c r="G124" s="21"/>
    </row>
    <row r="125" spans="2:10" x14ac:dyDescent="0.15">
      <c r="B125" s="30" t="s">
        <v>136</v>
      </c>
      <c r="C125" s="23">
        <v>-100</v>
      </c>
      <c r="E125" s="153"/>
      <c r="F125" s="21" t="s">
        <v>138</v>
      </c>
      <c r="G125" s="44">
        <v>-100</v>
      </c>
    </row>
    <row r="126" spans="2:10" x14ac:dyDescent="0.15">
      <c r="B126" s="21"/>
      <c r="C126" s="23"/>
      <c r="E126" s="153"/>
      <c r="F126" s="21"/>
      <c r="G126" s="21"/>
    </row>
    <row r="127" spans="2:10" x14ac:dyDescent="0.15">
      <c r="B127" s="70" t="s">
        <v>148</v>
      </c>
      <c r="C127" s="104">
        <v>-360000</v>
      </c>
      <c r="D127" s="105">
        <v>50000</v>
      </c>
      <c r="E127" s="154"/>
      <c r="F127" s="30" t="s">
        <v>147</v>
      </c>
      <c r="G127" s="21"/>
    </row>
    <row r="128" spans="2:10" x14ac:dyDescent="0.15">
      <c r="B128" s="21" t="s">
        <v>140</v>
      </c>
      <c r="D128" s="47">
        <v>-260</v>
      </c>
      <c r="E128" s="18"/>
      <c r="F128" s="21" t="s">
        <v>145</v>
      </c>
      <c r="G128" s="21"/>
    </row>
    <row r="129" spans="2:7" x14ac:dyDescent="0.15">
      <c r="B129" s="21" t="s">
        <v>141</v>
      </c>
      <c r="D129" s="47"/>
      <c r="E129" s="18"/>
      <c r="F129" s="21" t="s">
        <v>144</v>
      </c>
      <c r="G129" s="21"/>
    </row>
    <row r="130" spans="2:7" x14ac:dyDescent="0.15">
      <c r="B130" s="21"/>
      <c r="D130" s="47">
        <v>-60</v>
      </c>
      <c r="E130" s="18"/>
      <c r="F130" s="21" t="s">
        <v>146</v>
      </c>
      <c r="G130" s="44">
        <v>-320</v>
      </c>
    </row>
    <row r="131" spans="2:7" x14ac:dyDescent="0.15">
      <c r="B131" s="21"/>
      <c r="C131" s="33"/>
      <c r="E131" s="153"/>
      <c r="F131" s="21"/>
      <c r="G131" s="21"/>
    </row>
    <row r="132" spans="2:7" x14ac:dyDescent="0.15">
      <c r="B132" s="21" t="s">
        <v>142</v>
      </c>
      <c r="D132" s="47">
        <v>-5171.6000000000004</v>
      </c>
      <c r="E132" s="18"/>
      <c r="F132" s="21" t="s">
        <v>143</v>
      </c>
      <c r="G132" s="21">
        <f ca="1">G132</f>
        <v>0</v>
      </c>
    </row>
    <row r="133" spans="2:7" x14ac:dyDescent="0.15">
      <c r="B133" s="21"/>
      <c r="C133" s="33"/>
      <c r="E133" s="153"/>
      <c r="F133" s="21"/>
      <c r="G133" s="21"/>
    </row>
    <row r="134" spans="2:7" x14ac:dyDescent="0.15">
      <c r="B134" s="21"/>
      <c r="C134" s="33"/>
      <c r="E134" s="153"/>
      <c r="F134" s="21"/>
      <c r="G134" s="21"/>
    </row>
    <row r="135" spans="2:7" x14ac:dyDescent="0.15">
      <c r="B135" s="21"/>
      <c r="C135" s="33"/>
      <c r="E135" s="153"/>
      <c r="F135" s="21"/>
      <c r="G135" s="21"/>
    </row>
    <row r="136" spans="2:7" x14ac:dyDescent="0.15">
      <c r="B136" s="30" t="s">
        <v>161</v>
      </c>
      <c r="C136" s="33"/>
      <c r="D136" s="4">
        <v>0</v>
      </c>
      <c r="E136" s="153"/>
      <c r="F136" s="30" t="s">
        <v>164</v>
      </c>
      <c r="G136" s="21"/>
    </row>
    <row r="137" spans="2:7" x14ac:dyDescent="0.15">
      <c r="B137" s="21"/>
      <c r="C137" s="33"/>
      <c r="D137" s="4">
        <v>0</v>
      </c>
      <c r="E137" s="153"/>
      <c r="F137" s="30" t="s">
        <v>163</v>
      </c>
      <c r="G137" s="21"/>
    </row>
    <row r="138" spans="2:7" x14ac:dyDescent="0.15">
      <c r="B138" s="21"/>
      <c r="C138" s="33"/>
      <c r="E138" s="153"/>
      <c r="F138" s="21"/>
      <c r="G138" s="21"/>
    </row>
    <row r="139" spans="2:7" x14ac:dyDescent="0.15">
      <c r="B139" s="21"/>
      <c r="C139" s="33"/>
      <c r="E139" s="153"/>
      <c r="F139" s="30" t="s">
        <v>162</v>
      </c>
      <c r="G139" s="21"/>
    </row>
    <row r="140" spans="2:7" x14ac:dyDescent="0.15">
      <c r="B140" s="21"/>
      <c r="C140" s="33"/>
      <c r="D140" s="4">
        <v>-100</v>
      </c>
      <c r="E140" s="153"/>
      <c r="F140" s="30" t="s">
        <v>172</v>
      </c>
      <c r="G140" s="21"/>
    </row>
    <row r="141" spans="2:7" x14ac:dyDescent="0.15">
      <c r="B141" s="21"/>
      <c r="C141" s="33"/>
      <c r="E141" s="153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168</v>
      </c>
      <c r="C143" s="33"/>
      <c r="E143" s="153">
        <v>-34</v>
      </c>
      <c r="F143" s="30" t="s">
        <v>170</v>
      </c>
      <c r="G143" s="21"/>
    </row>
    <row r="144" spans="2:7" x14ac:dyDescent="0.15">
      <c r="B144" s="21"/>
      <c r="C144" s="33"/>
      <c r="E144" s="153">
        <v>-158</v>
      </c>
      <c r="F144" s="30" t="s">
        <v>177</v>
      </c>
      <c r="G144" s="21"/>
    </row>
    <row r="145" spans="2:7" x14ac:dyDescent="0.15">
      <c r="B145" s="30" t="s">
        <v>176</v>
      </c>
      <c r="C145" s="110">
        <v>-109</v>
      </c>
      <c r="E145" s="153"/>
      <c r="F145" s="30" t="s">
        <v>175</v>
      </c>
      <c r="G145" s="21"/>
    </row>
    <row r="146" spans="2:7" x14ac:dyDescent="0.15">
      <c r="B146" s="21"/>
      <c r="C146" s="110">
        <v>-100</v>
      </c>
      <c r="E146" s="153"/>
      <c r="F146" s="30" t="s">
        <v>174</v>
      </c>
      <c r="G146" s="21"/>
    </row>
    <row r="147" spans="2:7" x14ac:dyDescent="0.15">
      <c r="B147" s="21"/>
      <c r="C147" s="110">
        <v>-100</v>
      </c>
      <c r="E147" s="153"/>
      <c r="F147" s="30" t="s">
        <v>173</v>
      </c>
      <c r="G147" s="21"/>
    </row>
    <row r="148" spans="2:7" x14ac:dyDescent="0.15">
      <c r="B148" s="30" t="s">
        <v>185</v>
      </c>
      <c r="C148" s="33">
        <v>-200</v>
      </c>
      <c r="E148" s="153"/>
      <c r="F148" s="30" t="s">
        <v>178</v>
      </c>
      <c r="G148" s="21"/>
    </row>
    <row r="149" spans="2:7" x14ac:dyDescent="0.15">
      <c r="B149" s="21"/>
      <c r="C149" s="33">
        <v>-40</v>
      </c>
      <c r="E149" s="153"/>
      <c r="F149" s="30" t="s">
        <v>179</v>
      </c>
      <c r="G149" s="21"/>
    </row>
    <row r="150" spans="2:7" x14ac:dyDescent="0.15">
      <c r="B150" s="21"/>
      <c r="C150" s="33">
        <v>-57.5</v>
      </c>
      <c r="E150" s="153"/>
      <c r="F150" s="30" t="s">
        <v>180</v>
      </c>
      <c r="G150" s="21"/>
    </row>
    <row r="151" spans="2:7" x14ac:dyDescent="0.15">
      <c r="B151" s="21"/>
      <c r="C151" s="33">
        <v>-66.099999999999994</v>
      </c>
      <c r="E151" s="153"/>
      <c r="F151" s="30" t="s">
        <v>180</v>
      </c>
      <c r="G151" s="21"/>
    </row>
    <row r="152" spans="2:7" x14ac:dyDescent="0.15">
      <c r="B152" s="21"/>
      <c r="C152" s="33">
        <v>-50</v>
      </c>
      <c r="E152" s="153"/>
      <c r="F152" s="30" t="s">
        <v>181</v>
      </c>
      <c r="G152" s="21"/>
    </row>
    <row r="153" spans="2:7" x14ac:dyDescent="0.15">
      <c r="B153" s="21"/>
      <c r="C153" s="33">
        <v>-127</v>
      </c>
      <c r="E153" s="153"/>
      <c r="F153" s="30" t="s">
        <v>180</v>
      </c>
      <c r="G153" s="21"/>
    </row>
    <row r="154" spans="2:7" x14ac:dyDescent="0.15">
      <c r="B154" s="30" t="s">
        <v>184</v>
      </c>
      <c r="C154" s="33">
        <v>-442.73</v>
      </c>
      <c r="E154" s="153"/>
      <c r="F154" s="30" t="s">
        <v>182</v>
      </c>
      <c r="G154" s="21"/>
    </row>
    <row r="155" spans="2:7" x14ac:dyDescent="0.15">
      <c r="B155" s="21"/>
      <c r="C155" s="33">
        <v>-674.25</v>
      </c>
      <c r="E155" s="153"/>
      <c r="F155" s="30" t="s">
        <v>182</v>
      </c>
      <c r="G155" s="21"/>
    </row>
    <row r="156" spans="2:7" x14ac:dyDescent="0.15">
      <c r="B156" s="21"/>
      <c r="C156" s="33">
        <v>-14.73</v>
      </c>
      <c r="E156" s="153"/>
      <c r="F156" s="30" t="s">
        <v>183</v>
      </c>
      <c r="G156" s="21"/>
    </row>
    <row r="157" spans="2:7" x14ac:dyDescent="0.15">
      <c r="B157" s="21"/>
      <c r="C157" s="33"/>
      <c r="E157" s="153"/>
      <c r="F157" s="21"/>
      <c r="G157" s="21"/>
    </row>
    <row r="158" spans="2:7" x14ac:dyDescent="0.15">
      <c r="B158" s="21"/>
      <c r="C158" s="33"/>
      <c r="E158" s="153"/>
      <c r="F158" s="21"/>
      <c r="G158" s="21"/>
    </row>
    <row r="159" spans="2:7" x14ac:dyDescent="0.15">
      <c r="B159" s="21"/>
      <c r="C159" s="33"/>
      <c r="E159" s="153"/>
      <c r="F159" s="21"/>
      <c r="G159" s="21"/>
    </row>
    <row r="160" spans="2:7" x14ac:dyDescent="0.15">
      <c r="B160" s="21"/>
      <c r="C160" s="33"/>
      <c r="E160" s="153"/>
      <c r="F160" s="21"/>
      <c r="G160" s="21"/>
    </row>
    <row r="161" spans="2:7" x14ac:dyDescent="0.15">
      <c r="B161" s="21"/>
      <c r="C161" s="33"/>
      <c r="E161" s="153"/>
      <c r="F161" s="21"/>
      <c r="G161" s="21"/>
    </row>
    <row r="162" spans="2:7" x14ac:dyDescent="0.15">
      <c r="B162" s="21"/>
      <c r="C162" s="33"/>
      <c r="E162" s="153"/>
      <c r="F162" s="21"/>
      <c r="G162" s="21"/>
    </row>
    <row r="163" spans="2:7" x14ac:dyDescent="0.15">
      <c r="B163" s="21"/>
      <c r="C163" s="33"/>
      <c r="E163" s="153"/>
      <c r="F163" s="21"/>
      <c r="G163" s="21"/>
    </row>
    <row r="164" spans="2:7" x14ac:dyDescent="0.15">
      <c r="B164" s="21"/>
      <c r="C164" s="33"/>
      <c r="E164" s="153"/>
      <c r="F164" s="21"/>
      <c r="G164" s="21"/>
    </row>
    <row r="165" spans="2:7" x14ac:dyDescent="0.15">
      <c r="B165" s="21"/>
      <c r="C165" s="33"/>
      <c r="E165" s="153"/>
      <c r="F165" s="21"/>
      <c r="G165" s="21"/>
    </row>
    <row r="166" spans="2:7" x14ac:dyDescent="0.15">
      <c r="B166" s="21"/>
      <c r="C166" s="33"/>
      <c r="E166" s="153"/>
      <c r="F166" s="21"/>
      <c r="G166" s="21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F39"/>
  <sheetViews>
    <sheetView zoomScale="128" zoomScaleNormal="128" workbookViewId="0">
      <selection activeCell="K16" sqref="K16"/>
    </sheetView>
  </sheetViews>
  <sheetFormatPr baseColWidth="10" defaultRowHeight="13" x14ac:dyDescent="0.15"/>
  <cols>
    <col min="1" max="1" width="10.1640625" customWidth="1"/>
    <col min="2" max="2" width="10.33203125" style="126" customWidth="1"/>
    <col min="3" max="3" width="10" style="143" customWidth="1"/>
    <col min="4" max="4" width="9.83203125" style="126" customWidth="1"/>
    <col min="5" max="5" width="1" style="120" customWidth="1"/>
    <col min="6" max="6" width="14.33203125" style="39" customWidth="1"/>
    <col min="7" max="7" width="14.83203125" style="87" customWidth="1"/>
    <col min="8" max="8" width="10.6640625" style="39" customWidth="1"/>
    <col min="9" max="9" width="0.6640625" style="77" customWidth="1"/>
    <col min="10" max="10" width="13.1640625" style="96" customWidth="1"/>
    <col min="11" max="11" width="18.1640625" style="92" customWidth="1"/>
    <col min="12" max="12" width="13" style="40" customWidth="1"/>
    <col min="13" max="13" width="0.5" style="82" customWidth="1"/>
    <col min="14" max="14" width="12.6640625" style="58" customWidth="1"/>
    <col min="15" max="15" width="13.33203125" customWidth="1"/>
    <col min="16" max="16" width="13" customWidth="1"/>
    <col min="20" max="20" width="12.6640625" bestFit="1" customWidth="1"/>
    <col min="21" max="21" width="15.1640625" customWidth="1"/>
    <col min="23" max="23" width="13.33203125" customWidth="1"/>
    <col min="24" max="24" width="2.5" style="147" customWidth="1"/>
    <col min="25" max="25" width="12.6640625" bestFit="1" customWidth="1"/>
  </cols>
  <sheetData>
    <row r="1" spans="1:32" s="37" customFormat="1" ht="30" customHeight="1" x14ac:dyDescent="0.15">
      <c r="A1" s="62" t="s">
        <v>85</v>
      </c>
      <c r="B1" s="121" t="s">
        <v>166</v>
      </c>
      <c r="C1" s="139" t="s">
        <v>167</v>
      </c>
      <c r="D1" s="121" t="s">
        <v>165</v>
      </c>
      <c r="E1" s="114"/>
      <c r="F1" s="83" t="s">
        <v>151</v>
      </c>
      <c r="G1" s="86" t="s">
        <v>155</v>
      </c>
      <c r="H1" s="83" t="s">
        <v>150</v>
      </c>
      <c r="I1" s="71"/>
      <c r="J1" s="93" t="s">
        <v>153</v>
      </c>
      <c r="K1" s="88" t="s">
        <v>154</v>
      </c>
      <c r="L1" s="97" t="s">
        <v>152</v>
      </c>
      <c r="M1" s="78"/>
      <c r="N1" s="101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76</v>
      </c>
      <c r="U1" s="35" t="s">
        <v>75</v>
      </c>
      <c r="V1" s="35" t="s">
        <v>77</v>
      </c>
      <c r="W1" s="35" t="s">
        <v>78</v>
      </c>
      <c r="X1" s="145" t="s">
        <v>116</v>
      </c>
      <c r="Y1" s="37" t="s">
        <v>139</v>
      </c>
      <c r="AB1" s="37" t="s">
        <v>156</v>
      </c>
      <c r="AC1" s="37" t="s">
        <v>157</v>
      </c>
      <c r="AD1" s="37" t="s">
        <v>159</v>
      </c>
      <c r="AE1" s="37" t="s">
        <v>160</v>
      </c>
      <c r="AF1" s="37" t="s">
        <v>158</v>
      </c>
    </row>
    <row r="2" spans="1:32" s="37" customFormat="1" ht="30" customHeight="1" x14ac:dyDescent="0.15">
      <c r="A2" s="63" t="s">
        <v>115</v>
      </c>
      <c r="B2" s="122"/>
      <c r="C2" s="144">
        <v>0</v>
      </c>
      <c r="D2" s="122"/>
      <c r="E2" s="115"/>
      <c r="F2" s="84"/>
      <c r="G2" s="129">
        <v>6782.74</v>
      </c>
      <c r="H2" s="134"/>
      <c r="I2" s="72"/>
      <c r="J2" s="94"/>
      <c r="K2" s="89">
        <v>3275177.25</v>
      </c>
      <c r="L2" s="98"/>
      <c r="M2" s="79"/>
      <c r="N2" s="102"/>
      <c r="O2" s="35"/>
      <c r="P2" s="35"/>
      <c r="Q2" s="36"/>
      <c r="R2" s="36"/>
      <c r="S2" s="36"/>
      <c r="T2" s="35"/>
      <c r="U2" s="35"/>
      <c r="V2" s="35"/>
      <c r="W2" s="35"/>
      <c r="X2" s="145"/>
    </row>
    <row r="3" spans="1:32" x14ac:dyDescent="0.15">
      <c r="A3" s="64" t="s">
        <v>84</v>
      </c>
      <c r="B3" s="123"/>
      <c r="C3" s="140"/>
      <c r="D3" s="123"/>
      <c r="E3" s="116"/>
      <c r="F3" s="85"/>
      <c r="G3" s="130">
        <v>56782.74</v>
      </c>
      <c r="H3" s="135">
        <v>50000</v>
      </c>
      <c r="I3" s="73"/>
      <c r="J3" s="103">
        <v>-343993.12</v>
      </c>
      <c r="K3" s="90">
        <f>K2+J3</f>
        <v>2931184.13</v>
      </c>
      <c r="L3" s="99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22">
        <v>59544.5</v>
      </c>
      <c r="V3" s="22">
        <v>235000</v>
      </c>
      <c r="W3" s="22">
        <v>1000</v>
      </c>
      <c r="X3" s="146">
        <v>-17119.330000000002</v>
      </c>
      <c r="Y3" s="51">
        <f>SUM(O3:X3)</f>
        <v>2882282.02</v>
      </c>
    </row>
    <row r="4" spans="1:32" x14ac:dyDescent="0.15">
      <c r="A4" s="64" t="s">
        <v>84</v>
      </c>
      <c r="B4" s="123"/>
      <c r="C4" s="140"/>
      <c r="D4" s="123"/>
      <c r="E4" s="116"/>
      <c r="F4" s="85">
        <f>-15424.04</f>
        <v>-15424.04</v>
      </c>
      <c r="G4" s="130">
        <v>42220.7</v>
      </c>
      <c r="H4" s="135"/>
      <c r="I4" s="73"/>
      <c r="J4" s="103">
        <v>-48900.11</v>
      </c>
      <c r="K4" s="90">
        <f>K3+J4</f>
        <v>2882284.02</v>
      </c>
      <c r="L4" s="99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22">
        <v>59544.5</v>
      </c>
      <c r="V4" s="22">
        <v>235000</v>
      </c>
      <c r="W4" s="22">
        <v>1000</v>
      </c>
      <c r="X4" s="146">
        <v>-17119.330000000002</v>
      </c>
      <c r="Y4" s="51">
        <f>SUM(O4:X4)</f>
        <v>2882282.02</v>
      </c>
    </row>
    <row r="5" spans="1:32" x14ac:dyDescent="0.15">
      <c r="A5" s="65" t="s">
        <v>98</v>
      </c>
      <c r="B5" s="124"/>
      <c r="C5" s="141"/>
      <c r="D5" s="124"/>
      <c r="E5" s="117"/>
      <c r="F5" s="112">
        <v>-2643</v>
      </c>
      <c r="G5" s="130">
        <v>41977.7</v>
      </c>
      <c r="H5" s="136"/>
      <c r="I5" s="74"/>
      <c r="J5" s="23">
        <v>-560.89</v>
      </c>
      <c r="K5" s="90">
        <f>K4+J5+L5</f>
        <v>2897874.5999999996</v>
      </c>
      <c r="L5" s="100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22">
        <v>59544.5</v>
      </c>
      <c r="V5" s="22">
        <v>235000</v>
      </c>
      <c r="W5" s="22">
        <v>1000</v>
      </c>
      <c r="X5" s="146">
        <v>-17119.330000000002</v>
      </c>
      <c r="Y5" s="51">
        <f>SUM(O5:X5)</f>
        <v>2898433.49</v>
      </c>
    </row>
    <row r="6" spans="1:32" x14ac:dyDescent="0.15">
      <c r="A6" s="65" t="s">
        <v>117</v>
      </c>
      <c r="B6" s="17"/>
      <c r="C6" s="127"/>
      <c r="D6" s="17"/>
      <c r="E6" s="118"/>
      <c r="F6" s="4">
        <v>-260</v>
      </c>
      <c r="G6" s="131">
        <v>41717.699999999997</v>
      </c>
      <c r="H6" s="113"/>
      <c r="I6" s="75"/>
      <c r="J6" s="23">
        <v>-100</v>
      </c>
      <c r="K6" s="90">
        <v>2905665.28</v>
      </c>
      <c r="L6" s="99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22">
        <v>59544.5</v>
      </c>
      <c r="V6" s="22">
        <v>235000</v>
      </c>
      <c r="W6" s="22">
        <v>1000</v>
      </c>
      <c r="X6" s="146">
        <v>-17119.330000000002</v>
      </c>
      <c r="Y6" s="51">
        <f>SUM(O6:X6)</f>
        <v>2905665.2800000003</v>
      </c>
    </row>
    <row r="7" spans="1:32" x14ac:dyDescent="0.15">
      <c r="A7" s="65" t="s">
        <v>118</v>
      </c>
      <c r="B7" s="17"/>
      <c r="C7" s="127"/>
      <c r="D7" s="17"/>
      <c r="E7" s="118"/>
      <c r="F7" s="4">
        <v>-320</v>
      </c>
      <c r="G7" s="130">
        <f>G6+F7+H7</f>
        <v>91397.7</v>
      </c>
      <c r="H7" s="135">
        <v>50000</v>
      </c>
      <c r="I7" s="75"/>
      <c r="J7" s="103">
        <v>-360000</v>
      </c>
      <c r="K7" s="90">
        <f>K6+J7+L7</f>
        <v>2552894.1199999996</v>
      </c>
      <c r="L7" s="99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22">
        <v>59544.5</v>
      </c>
      <c r="V7" s="21">
        <v>0</v>
      </c>
      <c r="W7" s="22">
        <v>1000</v>
      </c>
      <c r="X7" s="146">
        <f>X6-125000</f>
        <v>-142119.33000000002</v>
      </c>
      <c r="Y7" s="51">
        <f>Y6-360000</f>
        <v>2545665.2800000003</v>
      </c>
      <c r="Z7" s="2" t="s">
        <v>149</v>
      </c>
    </row>
    <row r="8" spans="1:32" x14ac:dyDescent="0.15">
      <c r="A8" s="65" t="s">
        <v>119</v>
      </c>
      <c r="B8" s="17"/>
      <c r="C8" s="127"/>
      <c r="D8" s="17"/>
      <c r="E8" s="118"/>
      <c r="F8" s="4">
        <v>-5171.6000000000004</v>
      </c>
      <c r="G8" s="131">
        <f>G7+F8</f>
        <v>86226.099999999991</v>
      </c>
      <c r="H8" s="113">
        <v>0</v>
      </c>
      <c r="I8" s="75"/>
      <c r="J8" s="110">
        <v>-100</v>
      </c>
      <c r="K8" s="90">
        <f>K7+L8+J8</f>
        <v>2560022.9599999995</v>
      </c>
      <c r="L8" s="99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22">
        <v>59544.5</v>
      </c>
      <c r="V8" s="21">
        <v>0</v>
      </c>
      <c r="W8" s="22">
        <v>1000</v>
      </c>
      <c r="X8" s="146">
        <v>-142119.32999999999</v>
      </c>
      <c r="Y8" s="51">
        <f>SUM(O8:X8)</f>
        <v>2560842.08</v>
      </c>
      <c r="AB8" s="1">
        <v>79270.009999999995</v>
      </c>
      <c r="AC8" s="1">
        <v>9114</v>
      </c>
      <c r="AD8" s="1">
        <v>0</v>
      </c>
      <c r="AE8" s="1">
        <v>-600</v>
      </c>
      <c r="AF8" s="1">
        <f>SUM(AB8:AE8)</f>
        <v>87784.01</v>
      </c>
    </row>
    <row r="9" spans="1:32" x14ac:dyDescent="0.15">
      <c r="A9" s="65" t="s">
        <v>120</v>
      </c>
      <c r="B9" s="17"/>
      <c r="C9" s="127"/>
      <c r="D9" s="17"/>
      <c r="E9" s="118"/>
      <c r="F9" s="113">
        <v>-100</v>
      </c>
      <c r="G9" s="131">
        <f>G8+F9</f>
        <v>86126.099999999991</v>
      </c>
      <c r="H9" s="113"/>
      <c r="I9" s="75"/>
      <c r="J9" s="110">
        <v>-100</v>
      </c>
      <c r="K9" s="90">
        <f>K8+L9+J9</f>
        <v>2567151.7999999993</v>
      </c>
      <c r="L9" s="99">
        <v>7228.84</v>
      </c>
      <c r="M9" s="80"/>
      <c r="N9" s="61"/>
      <c r="O9" s="107">
        <v>1881712.71</v>
      </c>
      <c r="P9" s="108">
        <v>149105.29</v>
      </c>
      <c r="Q9" s="21">
        <v>1478.72</v>
      </c>
      <c r="R9" s="21">
        <v>183.87</v>
      </c>
      <c r="S9" s="21">
        <v>0.37</v>
      </c>
      <c r="T9" s="107">
        <v>610395.01</v>
      </c>
      <c r="U9" s="109">
        <v>59544.5</v>
      </c>
      <c r="V9" s="21">
        <v>0</v>
      </c>
      <c r="W9" s="106">
        <v>1000</v>
      </c>
      <c r="X9" s="146">
        <v>-142119.32999999999</v>
      </c>
      <c r="Y9" s="51">
        <f>SUM(O9:X9)</f>
        <v>2561301.14</v>
      </c>
    </row>
    <row r="10" spans="1:32" x14ac:dyDescent="0.15">
      <c r="A10" s="65" t="s">
        <v>120</v>
      </c>
      <c r="B10" s="128">
        <v>-1526.23</v>
      </c>
      <c r="C10" s="127">
        <f>D10+B10</f>
        <v>4473.7700000000004</v>
      </c>
      <c r="D10" s="127">
        <v>6000</v>
      </c>
      <c r="E10" s="118"/>
      <c r="F10" s="38"/>
      <c r="G10" s="131"/>
      <c r="H10" s="113"/>
      <c r="I10" s="75"/>
      <c r="J10" s="110">
        <v>-28418.400000000001</v>
      </c>
      <c r="K10" s="90">
        <f>K9+J10</f>
        <v>2538733.3999999994</v>
      </c>
      <c r="L10" s="99">
        <v>0</v>
      </c>
      <c r="M10" s="80"/>
      <c r="N10" s="61"/>
      <c r="O10" s="21"/>
      <c r="P10" s="21"/>
      <c r="Q10" s="21"/>
      <c r="R10" s="21"/>
      <c r="S10" s="21"/>
      <c r="T10" s="21"/>
      <c r="U10" s="21"/>
      <c r="V10" s="21"/>
      <c r="W10" s="21"/>
    </row>
    <row r="11" spans="1:32" x14ac:dyDescent="0.15">
      <c r="A11" s="65" t="s">
        <v>171</v>
      </c>
      <c r="B11" s="17"/>
      <c r="C11" s="127"/>
      <c r="D11" s="17"/>
      <c r="E11" s="118"/>
      <c r="F11" s="38"/>
      <c r="G11" s="131"/>
      <c r="H11" s="113"/>
      <c r="I11" s="75"/>
      <c r="J11" s="33"/>
      <c r="K11" s="90"/>
      <c r="L11" s="99"/>
      <c r="M11" s="80"/>
      <c r="N11" s="61"/>
      <c r="O11" s="21"/>
      <c r="P11" s="21"/>
      <c r="Q11" s="21"/>
      <c r="R11" s="21"/>
      <c r="S11" s="21"/>
      <c r="T11" s="21"/>
      <c r="U11" s="21"/>
      <c r="V11" s="21"/>
      <c r="W11" s="21"/>
    </row>
    <row r="12" spans="1:32" ht="14" thickBot="1" x14ac:dyDescent="0.2">
      <c r="A12" s="66" t="s">
        <v>121</v>
      </c>
      <c r="B12" s="125"/>
      <c r="C12" s="142"/>
      <c r="D12" s="125"/>
      <c r="E12" s="119"/>
      <c r="F12" s="67"/>
      <c r="G12" s="132"/>
      <c r="H12" s="137"/>
      <c r="I12" s="76"/>
      <c r="J12" s="95"/>
      <c r="K12" s="91"/>
      <c r="L12" s="99"/>
      <c r="M12" s="80"/>
      <c r="N12" s="61"/>
      <c r="O12" s="21"/>
      <c r="P12" s="21"/>
      <c r="Q12" s="21"/>
      <c r="R12" s="21"/>
      <c r="S12" s="21"/>
      <c r="T12" s="21"/>
      <c r="U12" s="21"/>
      <c r="V12" s="21"/>
      <c r="W12" s="21"/>
    </row>
    <row r="13" spans="1:32" x14ac:dyDescent="0.15">
      <c r="G13" s="133"/>
      <c r="H13" s="138"/>
    </row>
    <row r="14" spans="1:32" x14ac:dyDescent="0.15">
      <c r="G14" s="133"/>
      <c r="H14" s="138"/>
      <c r="O14" s="51">
        <f>O8+7228.84</f>
        <v>1898941.55</v>
      </c>
    </row>
    <row r="15" spans="1:32" x14ac:dyDescent="0.15">
      <c r="G15" s="133"/>
      <c r="H15" s="138"/>
      <c r="O15" s="51"/>
      <c r="P15" s="1"/>
    </row>
    <row r="16" spans="1:32" x14ac:dyDescent="0.15">
      <c r="G16" s="133"/>
      <c r="H16" s="138"/>
      <c r="O16" s="51">
        <f>K6+J7+L6</f>
        <v>2552894.1199999996</v>
      </c>
      <c r="P16" s="1"/>
      <c r="X16" s="146">
        <v>-16219.33</v>
      </c>
    </row>
    <row r="17" spans="7:25" x14ac:dyDescent="0.15">
      <c r="G17" s="133"/>
      <c r="H17" s="138"/>
      <c r="O17" s="51"/>
      <c r="P17" s="51"/>
      <c r="Q17" s="51"/>
      <c r="T17" s="22">
        <f>K2+J4</f>
        <v>3226277.14</v>
      </c>
      <c r="U17" s="51">
        <f>J4-K4</f>
        <v>-2931184.13</v>
      </c>
    </row>
    <row r="18" spans="7:25" x14ac:dyDescent="0.15">
      <c r="G18" s="133"/>
      <c r="H18" s="138"/>
      <c r="T18" s="51">
        <f>K4+J5</f>
        <v>2881723.13</v>
      </c>
    </row>
    <row r="19" spans="7:25" x14ac:dyDescent="0.15">
      <c r="G19" s="133"/>
      <c r="H19" s="138"/>
      <c r="O19" s="51">
        <f>G6+H7+F7</f>
        <v>91397.7</v>
      </c>
      <c r="P19" s="103">
        <f>343993.12</f>
        <v>343993.12</v>
      </c>
      <c r="X19" s="148">
        <v>50000</v>
      </c>
      <c r="Y19" s="1">
        <f>X19*7</f>
        <v>350000</v>
      </c>
    </row>
    <row r="20" spans="7:25" x14ac:dyDescent="0.15">
      <c r="G20" s="133"/>
      <c r="H20" s="138"/>
      <c r="P20" s="111">
        <v>392893.23</v>
      </c>
    </row>
    <row r="21" spans="7:25" x14ac:dyDescent="0.15">
      <c r="G21" s="133"/>
      <c r="H21" s="138"/>
      <c r="P21" s="51">
        <f>P19-P20</f>
        <v>-48900.109999999986</v>
      </c>
    </row>
    <row r="22" spans="7:25" x14ac:dyDescent="0.15">
      <c r="G22" s="133"/>
      <c r="H22" s="138"/>
      <c r="N22" s="58">
        <f>J10/D10</f>
        <v>-4.7364000000000006</v>
      </c>
    </row>
    <row r="23" spans="7:25" x14ac:dyDescent="0.15">
      <c r="G23" s="133"/>
      <c r="H23" s="138"/>
    </row>
    <row r="24" spans="7:25" x14ac:dyDescent="0.15">
      <c r="G24" s="133"/>
      <c r="H24" s="138"/>
      <c r="N24" s="58">
        <f>L9/N22</f>
        <v>-1526.2308926610926</v>
      </c>
      <c r="P24" s="51">
        <f>P19/50000</f>
        <v>6.8798623999999995</v>
      </c>
    </row>
    <row r="25" spans="7:25" x14ac:dyDescent="0.15">
      <c r="G25" s="133"/>
      <c r="H25" s="138"/>
    </row>
    <row r="26" spans="7:25" x14ac:dyDescent="0.15">
      <c r="G26" s="133"/>
      <c r="H26" s="138"/>
    </row>
    <row r="27" spans="7:25" x14ac:dyDescent="0.15">
      <c r="G27" s="133"/>
      <c r="H27" s="138"/>
    </row>
    <row r="28" spans="7:25" x14ac:dyDescent="0.15">
      <c r="G28" s="133"/>
      <c r="H28" s="138"/>
    </row>
    <row r="29" spans="7:25" x14ac:dyDescent="0.15">
      <c r="H29" s="138"/>
    </row>
    <row r="30" spans="7:25" x14ac:dyDescent="0.15">
      <c r="H30" s="138"/>
    </row>
    <row r="31" spans="7:25" x14ac:dyDescent="0.15">
      <c r="H31" s="138"/>
    </row>
    <row r="32" spans="7:25" x14ac:dyDescent="0.15">
      <c r="H32" s="138"/>
    </row>
    <row r="33" spans="8:8" x14ac:dyDescent="0.15">
      <c r="H33" s="138"/>
    </row>
    <row r="34" spans="8:8" x14ac:dyDescent="0.15">
      <c r="H34" s="138"/>
    </row>
    <row r="35" spans="8:8" x14ac:dyDescent="0.15">
      <c r="H35" s="138"/>
    </row>
    <row r="36" spans="8:8" x14ac:dyDescent="0.15">
      <c r="H36" s="138"/>
    </row>
    <row r="37" spans="8:8" x14ac:dyDescent="0.15">
      <c r="H37" s="138"/>
    </row>
    <row r="38" spans="8:8" x14ac:dyDescent="0.15">
      <c r="H38" s="138"/>
    </row>
    <row r="39" spans="8:8" x14ac:dyDescent="0.15">
      <c r="H39" s="138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2023-02-27T11:02:17Z</dcterms:modified>
</cp:coreProperties>
</file>